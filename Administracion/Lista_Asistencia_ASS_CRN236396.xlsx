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ddf5fb2bc65e958/Documentos/GitHub/lc_arquitectura_de_sistemas_de_seguridad/Administracion/"/>
    </mc:Choice>
  </mc:AlternateContent>
  <xr:revisionPtr revIDLastSave="0" documentId="13_ncr:1_{A38376A8-59C5-44D7-8BA9-AC04E8A4A2FE}" xr6:coauthVersionLast="47" xr6:coauthVersionMax="47" xr10:uidLastSave="{00000000-0000-0000-0000-000000000000}"/>
  <bookViews>
    <workbookView xWindow="-120" yWindow="-120" windowWidth="29040" windowHeight="15720" tabRatio="500" xr2:uid="{00000000-000D-0000-FFFF-FFFF00000000}"/>
  </bookViews>
  <sheets>
    <sheet name="Asistencia" sheetId="1" r:id="rId1"/>
    <sheet name="Resumen" sheetId="2" r:id="rId2"/>
    <sheet name="Examen 1" sheetId="3" r:id="rId3"/>
  </sheets>
  <definedNames>
    <definedName name="_xlnm._FilterDatabase" localSheetId="2" hidden="1">'Examen 1'!$A$1:$Z$28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1" i="1" l="1"/>
  <c r="E28" i="3"/>
  <c r="E3" i="3"/>
  <c r="G24" i="1" s="1"/>
  <c r="E4" i="3"/>
  <c r="G26" i="1" s="1"/>
  <c r="E5" i="3"/>
  <c r="G13" i="1" s="1"/>
  <c r="E6" i="3"/>
  <c r="G23" i="1" s="1"/>
  <c r="E7" i="3"/>
  <c r="G12" i="1" s="1"/>
  <c r="E8" i="3"/>
  <c r="G9" i="1" s="1"/>
  <c r="E9" i="3"/>
  <c r="G15" i="1" s="1"/>
  <c r="E10" i="3"/>
  <c r="G30" i="1" s="1"/>
  <c r="E11" i="3"/>
  <c r="G19" i="1" s="1"/>
  <c r="E12" i="3"/>
  <c r="G29" i="1" s="1"/>
  <c r="E13" i="3"/>
  <c r="G32" i="1" s="1"/>
  <c r="E14" i="3"/>
  <c r="G16" i="1" s="1"/>
  <c r="E15" i="3"/>
  <c r="G25" i="1" s="1"/>
  <c r="E16" i="3"/>
  <c r="G10" i="1" s="1"/>
  <c r="E17" i="3"/>
  <c r="G27" i="1" s="1"/>
  <c r="E18" i="3"/>
  <c r="G6" i="1" s="1"/>
  <c r="E19" i="3"/>
  <c r="G22" i="1" s="1"/>
  <c r="E20" i="3"/>
  <c r="G17" i="1" s="1"/>
  <c r="E21" i="3"/>
  <c r="G31" i="1" s="1"/>
  <c r="E22" i="3"/>
  <c r="G8" i="1" s="1"/>
  <c r="E23" i="3"/>
  <c r="G14" i="1" s="1"/>
  <c r="E24" i="3"/>
  <c r="G7" i="1" s="1"/>
  <c r="E25" i="3"/>
  <c r="G21" i="1" s="1"/>
  <c r="E26" i="3"/>
  <c r="G20" i="1" s="1"/>
  <c r="E27" i="3"/>
  <c r="G28" i="1" s="1"/>
  <c r="E2" i="3"/>
  <c r="G18" i="1" s="1"/>
  <c r="AM33" i="1"/>
  <c r="AL33" i="1"/>
  <c r="AK33" i="1"/>
  <c r="AJ33" i="1"/>
  <c r="AI33" i="1"/>
  <c r="AH33" i="1"/>
  <c r="AG33" i="1"/>
  <c r="AF33" i="1"/>
  <c r="AE33" i="1"/>
  <c r="AD33" i="1"/>
  <c r="AC33" i="1"/>
  <c r="AB33" i="1"/>
  <c r="AA33" i="1"/>
  <c r="Z33" i="1"/>
  <c r="Y33" i="1"/>
  <c r="X33" i="1"/>
  <c r="W33" i="1"/>
  <c r="V33" i="1"/>
  <c r="U33" i="1"/>
  <c r="T33" i="1"/>
  <c r="S33" i="1"/>
  <c r="R33" i="1"/>
  <c r="Q33" i="1"/>
  <c r="P33" i="1"/>
  <c r="O33" i="1"/>
  <c r="N33" i="1"/>
  <c r="M33" i="1"/>
  <c r="L33" i="1"/>
  <c r="K33" i="1"/>
  <c r="J33" i="1"/>
  <c r="I33" i="1"/>
  <c r="H33" i="1"/>
  <c r="AO32" i="1"/>
  <c r="F29" i="2" s="1"/>
  <c r="AN32" i="1"/>
  <c r="E29" i="2" s="1"/>
  <c r="AO31" i="1"/>
  <c r="F28" i="2" s="1"/>
  <c r="AN31" i="1"/>
  <c r="E28" i="2" s="1"/>
  <c r="AO30" i="1"/>
  <c r="F27" i="2" s="1"/>
  <c r="AN30" i="1"/>
  <c r="AP30" i="1" s="1"/>
  <c r="AO29" i="1"/>
  <c r="F26" i="2" s="1"/>
  <c r="AN29" i="1"/>
  <c r="AP29" i="1" s="1"/>
  <c r="AO28" i="1"/>
  <c r="F25" i="2" s="1"/>
  <c r="AN28" i="1"/>
  <c r="E25" i="2" s="1"/>
  <c r="AO27" i="1"/>
  <c r="F24" i="2" s="1"/>
  <c r="AN27" i="1"/>
  <c r="E24" i="2" s="1"/>
  <c r="AO26" i="1"/>
  <c r="F23" i="2" s="1"/>
  <c r="AN26" i="1"/>
  <c r="E23" i="2" s="1"/>
  <c r="AO25" i="1"/>
  <c r="F22" i="2" s="1"/>
  <c r="AN25" i="1"/>
  <c r="AP25" i="1" s="1"/>
  <c r="AO24" i="1"/>
  <c r="F21" i="2" s="1"/>
  <c r="AN24" i="1"/>
  <c r="E21" i="2" s="1"/>
  <c r="AO23" i="1"/>
  <c r="F20" i="2" s="1"/>
  <c r="AN23" i="1"/>
  <c r="E20" i="2" s="1"/>
  <c r="AO22" i="1"/>
  <c r="F19" i="2" s="1"/>
  <c r="AN22" i="1"/>
  <c r="AP22" i="1" s="1"/>
  <c r="AO21" i="1"/>
  <c r="F18" i="2" s="1"/>
  <c r="AN21" i="1"/>
  <c r="E18" i="2" s="1"/>
  <c r="AO20" i="1"/>
  <c r="F17" i="2" s="1"/>
  <c r="AN20" i="1"/>
  <c r="E17" i="2" s="1"/>
  <c r="AO19" i="1"/>
  <c r="F16" i="2" s="1"/>
  <c r="AN19" i="1"/>
  <c r="E16" i="2" s="1"/>
  <c r="AO18" i="1"/>
  <c r="F15" i="2" s="1"/>
  <c r="AN18" i="1"/>
  <c r="AP18" i="1" s="1"/>
  <c r="AO17" i="1"/>
  <c r="F14" i="2" s="1"/>
  <c r="AN17" i="1"/>
  <c r="AP17" i="1" s="1"/>
  <c r="AO16" i="1"/>
  <c r="F13" i="2" s="1"/>
  <c r="AN16" i="1"/>
  <c r="E13" i="2" s="1"/>
  <c r="AO15" i="1"/>
  <c r="F12" i="2" s="1"/>
  <c r="AN15" i="1"/>
  <c r="E12" i="2" s="1"/>
  <c r="AO14" i="1"/>
  <c r="F11" i="2" s="1"/>
  <c r="AN14" i="1"/>
  <c r="E11" i="2" s="1"/>
  <c r="AO13" i="1"/>
  <c r="F10" i="2" s="1"/>
  <c r="AN13" i="1"/>
  <c r="AP13" i="1" s="1"/>
  <c r="AO12" i="1"/>
  <c r="F9" i="2" s="1"/>
  <c r="AN12" i="1"/>
  <c r="E9" i="2" s="1"/>
  <c r="AO11" i="1"/>
  <c r="F8" i="2" s="1"/>
  <c r="AN11" i="1"/>
  <c r="E8" i="2" s="1"/>
  <c r="AO10" i="1"/>
  <c r="F7" i="2" s="1"/>
  <c r="AN10" i="1"/>
  <c r="E7" i="2" s="1"/>
  <c r="AO9" i="1"/>
  <c r="F6" i="2" s="1"/>
  <c r="AN9" i="1"/>
  <c r="AP9" i="1" s="1"/>
  <c r="AO8" i="1"/>
  <c r="F5" i="2" s="1"/>
  <c r="AN8" i="1"/>
  <c r="E5" i="2" s="1"/>
  <c r="AO7" i="1"/>
  <c r="F4" i="2" s="1"/>
  <c r="AN7" i="1"/>
  <c r="E4" i="2" s="1"/>
  <c r="AO6" i="1"/>
  <c r="F3" i="2" s="1"/>
  <c r="AN6" i="1"/>
  <c r="AP6" i="1" s="1"/>
  <c r="H3" i="2" s="1"/>
  <c r="AP19" i="1" l="1"/>
  <c r="H16" i="2" s="1"/>
  <c r="AP7" i="1"/>
  <c r="H4" i="2" s="1"/>
  <c r="AP21" i="1"/>
  <c r="H18" i="2" s="1"/>
  <c r="AP26" i="1"/>
  <c r="H23" i="2" s="1"/>
  <c r="AP14" i="1"/>
  <c r="H11" i="2" s="1"/>
  <c r="AP28" i="1"/>
  <c r="H25" i="2" s="1"/>
  <c r="AP23" i="1"/>
  <c r="H20" i="2" s="1"/>
  <c r="AP12" i="1"/>
  <c r="H9" i="2" s="1"/>
  <c r="AP10" i="1"/>
  <c r="H7" i="2" s="1"/>
  <c r="H10" i="2"/>
  <c r="G10" i="2"/>
  <c r="H6" i="2"/>
  <c r="G6" i="2"/>
  <c r="H27" i="2"/>
  <c r="G27" i="2"/>
  <c r="G3" i="2"/>
  <c r="H14" i="2"/>
  <c r="G14" i="2"/>
  <c r="H15" i="2"/>
  <c r="G15" i="2"/>
  <c r="H26" i="2"/>
  <c r="G26" i="2"/>
  <c r="H22" i="2"/>
  <c r="G22" i="2"/>
  <c r="H19" i="2"/>
  <c r="G19" i="2"/>
  <c r="AP20" i="1"/>
  <c r="AP15" i="1"/>
  <c r="AP31" i="1"/>
  <c r="E6" i="2"/>
  <c r="E10" i="2"/>
  <c r="E14" i="2"/>
  <c r="E22" i="2"/>
  <c r="E26" i="2"/>
  <c r="AP16" i="1"/>
  <c r="AP32" i="1"/>
  <c r="AP27" i="1"/>
  <c r="E3" i="2"/>
  <c r="E15" i="2"/>
  <c r="E19" i="2"/>
  <c r="E27" i="2"/>
  <c r="AP11" i="1"/>
  <c r="G4" i="2"/>
  <c r="G16" i="2"/>
  <c r="AP8" i="1"/>
  <c r="AP24" i="1"/>
  <c r="G18" i="2" l="1"/>
  <c r="G11" i="2"/>
  <c r="G7" i="2"/>
  <c r="G23" i="2"/>
  <c r="G25" i="2"/>
  <c r="G20" i="2"/>
  <c r="G9" i="2"/>
  <c r="H24" i="2"/>
  <c r="G24" i="2"/>
  <c r="H29" i="2"/>
  <c r="G29" i="2"/>
  <c r="H21" i="2"/>
  <c r="G21" i="2"/>
  <c r="H12" i="2"/>
  <c r="G12" i="2"/>
  <c r="H13" i="2"/>
  <c r="G13" i="2"/>
  <c r="H17" i="2"/>
  <c r="G17" i="2"/>
  <c r="H28" i="2"/>
  <c r="G28" i="2"/>
  <c r="H5" i="2"/>
  <c r="G5" i="2"/>
  <c r="H8" i="2"/>
  <c r="G8" i="2"/>
</calcChain>
</file>

<file path=xl/sharedStrings.xml><?xml version="1.0" encoding="utf-8"?>
<sst xmlns="http://schemas.openxmlformats.org/spreadsheetml/2006/main" count="1726" uniqueCount="308">
  <si>
    <t>LISTA DE ASISTENCIA — ARQUITECTURA DE SISTEMAS DE SEGURIDAD  |  Ciclo 2026-A  |  CRN 236396  |  Sección 401  |  Aula 101 Edif. 4L</t>
  </si>
  <si>
    <t>CUGDL · UDG  |  Licenciatura en Ciberseguridad  |  19 Enero – 29 Mayo 2026  |  Horario: L 07:00-08:55  Mi 09:00-10:55  |  Prof. Titular: Luis Alberto Maciel Arellano  |  Prof. Suplente: Carlos Pulido Rosas  |  Total sesiones válidas: 32</t>
  </si>
  <si>
    <t>#</t>
  </si>
  <si>
    <t>APELLIDO(S)</t>
  </si>
  <si>
    <t>NOMBRE(S)</t>
  </si>
  <si>
    <t>CÓDIGO</t>
  </si>
  <si>
    <t>SEM 1</t>
  </si>
  <si>
    <t>SEM 2</t>
  </si>
  <si>
    <t>SEM 3</t>
  </si>
  <si>
    <t>SEM 4</t>
  </si>
  <si>
    <t>SEM 5</t>
  </si>
  <si>
    <t>SEM 6</t>
  </si>
  <si>
    <t>SEM 7</t>
  </si>
  <si>
    <t>SEM 8</t>
  </si>
  <si>
    <t>SEM 9</t>
  </si>
  <si>
    <t>SEM 10</t>
  </si>
  <si>
    <t>SEM 11</t>
  </si>
  <si>
    <t>SEM 12</t>
  </si>
  <si>
    <t>SEM 13</t>
  </si>
  <si>
    <t>SEM 14</t>
  </si>
  <si>
    <t>SEM 15</t>
  </si>
  <si>
    <t>SEM 16</t>
  </si>
  <si>
    <t>ASIST.</t>
  </si>
  <si>
    <t>FALTAS</t>
  </si>
  <si>
    <t>% ASIST.</t>
  </si>
  <si>
    <t>L</t>
  </si>
  <si>
    <t>Mi</t>
  </si>
  <si>
    <t>19/01</t>
  </si>
  <si>
    <t>21/01</t>
  </si>
  <si>
    <t>26/01</t>
  </si>
  <si>
    <t>28/01</t>
  </si>
  <si>
    <t>02/02</t>
  </si>
  <si>
    <t>04/02</t>
  </si>
  <si>
    <t>09/02</t>
  </si>
  <si>
    <t>11/02</t>
  </si>
  <si>
    <t>16/02</t>
  </si>
  <si>
    <t>18/02</t>
  </si>
  <si>
    <t>23/02</t>
  </si>
  <si>
    <t>25/02</t>
  </si>
  <si>
    <t>02/03</t>
  </si>
  <si>
    <t>04/03</t>
  </si>
  <si>
    <t>09/03</t>
  </si>
  <si>
    <t>11/03</t>
  </si>
  <si>
    <t>16/03</t>
  </si>
  <si>
    <t>18/03</t>
  </si>
  <si>
    <t>23/03</t>
  </si>
  <si>
    <t>25/03</t>
  </si>
  <si>
    <t>13/04</t>
  </si>
  <si>
    <t>15/04</t>
  </si>
  <si>
    <t>20/04</t>
  </si>
  <si>
    <t>22/04</t>
  </si>
  <si>
    <t>27/04</t>
  </si>
  <si>
    <t>29/04</t>
  </si>
  <si>
    <t>04/05</t>
  </si>
  <si>
    <t>06/05</t>
  </si>
  <si>
    <t>11/05</t>
  </si>
  <si>
    <t>13/05</t>
  </si>
  <si>
    <t>18/05</t>
  </si>
  <si>
    <t>20/05</t>
  </si>
  <si>
    <t>ACOSTA SANDOVAL</t>
  </si>
  <si>
    <t>ROGELIO ESAU</t>
  </si>
  <si>
    <t>220840099</t>
  </si>
  <si>
    <t>ARIAS CASTELLON</t>
  </si>
  <si>
    <t>GABRIELA ESPERA</t>
  </si>
  <si>
    <t>088404858</t>
  </si>
  <si>
    <t>AVALOS RODRIGUEZ</t>
  </si>
  <si>
    <t>KAROL GUADALUPE</t>
  </si>
  <si>
    <t>224164552</t>
  </si>
  <si>
    <t>CARCAÑO AGUAYO</t>
  </si>
  <si>
    <t>ANDREA LISSETH</t>
  </si>
  <si>
    <t>221449008</t>
  </si>
  <si>
    <t>DE LA VEGA SANCHEZ</t>
  </si>
  <si>
    <t>ISIS KAROL</t>
  </si>
  <si>
    <t>221450537</t>
  </si>
  <si>
    <t>DE LUNA MOZQUEDA</t>
  </si>
  <si>
    <t>EMMANUEL</t>
  </si>
  <si>
    <t>209015442</t>
  </si>
  <si>
    <t>FRANCO ARELLANO</t>
  </si>
  <si>
    <t>DAPHNE WENDOLYN</t>
  </si>
  <si>
    <t>219051455</t>
  </si>
  <si>
    <t>FREGOSO SANCHEZ</t>
  </si>
  <si>
    <t>PAOLA</t>
  </si>
  <si>
    <t>216592013</t>
  </si>
  <si>
    <t>GARAY GUZMAN</t>
  </si>
  <si>
    <t>CRISTIAN RENE</t>
  </si>
  <si>
    <t>220105445</t>
  </si>
  <si>
    <t>GERALDO RUBIO</t>
  </si>
  <si>
    <t>JUAN ANTONIO</t>
  </si>
  <si>
    <t>224164554</t>
  </si>
  <si>
    <t>GOMEZ CASTORENA</t>
  </si>
  <si>
    <t>ERICK JOSUE</t>
  </si>
  <si>
    <t>212477198</t>
  </si>
  <si>
    <t>GONZALEZ CALVILLO</t>
  </si>
  <si>
    <t>TANIA MARIA</t>
  </si>
  <si>
    <t>221597082</t>
  </si>
  <si>
    <t>GONZALEZ CUELLAR</t>
  </si>
  <si>
    <t>EDGAR OSWALDO</t>
  </si>
  <si>
    <t>221217808</t>
  </si>
  <si>
    <t>GONZALEZ MEDRANO</t>
  </si>
  <si>
    <t>LILIANA ARALI</t>
  </si>
  <si>
    <t>218510383</t>
  </si>
  <si>
    <t>HERNANDEZ VENEGAS</t>
  </si>
  <si>
    <t>TABATA CRISTINA</t>
  </si>
  <si>
    <t>219873528</t>
  </si>
  <si>
    <t>HERNANDEZ VILLANUEVA</t>
  </si>
  <si>
    <t>VICTOR DANIEL</t>
  </si>
  <si>
    <t>224164539</t>
  </si>
  <si>
    <t>IBARRA GRACIA</t>
  </si>
  <si>
    <t>DIEGO DAVID</t>
  </si>
  <si>
    <t>218506645</t>
  </si>
  <si>
    <t>LAZOS CRUZ</t>
  </si>
  <si>
    <t>ALLISON</t>
  </si>
  <si>
    <t>221488607</t>
  </si>
  <si>
    <t>MARTINEZ DURAN</t>
  </si>
  <si>
    <t>MAHONRI MORIANC</t>
  </si>
  <si>
    <t>220468319</t>
  </si>
  <si>
    <t>MARTINEZ GUTIERREZ</t>
  </si>
  <si>
    <t>DIEGO EUGENIO</t>
  </si>
  <si>
    <t>224164553</t>
  </si>
  <si>
    <t>MUÑOZ RIVAS</t>
  </si>
  <si>
    <t>JOSHUA</t>
  </si>
  <si>
    <t>224164546</t>
  </si>
  <si>
    <t>PEREZ GOMEZ</t>
  </si>
  <si>
    <t>MARIA ANDREA</t>
  </si>
  <si>
    <t>216797103</t>
  </si>
  <si>
    <t>PIMENTEL MELGOZA</t>
  </si>
  <si>
    <t>ISRAEL RICARDO</t>
  </si>
  <si>
    <t>224164542</t>
  </si>
  <si>
    <t>PONCE RAMIREZ</t>
  </si>
  <si>
    <t>JORGE ALBERTO</t>
  </si>
  <si>
    <t>210610982</t>
  </si>
  <si>
    <t>REYES OLMEDO</t>
  </si>
  <si>
    <t>CHRISTIAN ALEJA</t>
  </si>
  <si>
    <t>302356759</t>
  </si>
  <si>
    <t>ROJAS BOBADILLA</t>
  </si>
  <si>
    <t>ALVARO ARTURO</t>
  </si>
  <si>
    <t>224164555</t>
  </si>
  <si>
    <t>ZARAGOZA BRAMBILA</t>
  </si>
  <si>
    <t>FABIAN ISAI</t>
  </si>
  <si>
    <t>220417773</t>
  </si>
  <si>
    <t>ASISTENCIAS POR SESIÓN</t>
  </si>
  <si>
    <t xml:space="preserve">  ✅ "A" = Asistencia    ❌ "F" = Falta    📝 "J" = Justificada (no cuenta en fórmula)    ⬛ "—" = Sesión de vacaciones (bloqueada)    Semana Santa: 30 Mar – 12 Abr 2026</t>
  </si>
  <si>
    <t>RESUMEN DE ASISTENCIA — ARQ. SISTEMAS DE SEGURIDAD  |  Ciclo 2026-A  |  CRN 236396</t>
  </si>
  <si>
    <t>ASISTENCIAS</t>
  </si>
  <si>
    <t>STATUS</t>
  </si>
  <si>
    <t>A</t>
  </si>
  <si>
    <t>-</t>
  </si>
  <si>
    <t>Examen 2</t>
  </si>
  <si>
    <t>Marca temporal</t>
  </si>
  <si>
    <t>Dirección de correo electrónico</t>
  </si>
  <si>
    <t>Puntuación</t>
  </si>
  <si>
    <t>1. Una empresa descubre que un atacante accedió a su base de datos de clientes y copió 2 millones de registros sin modificar nada. ¿Qué pilar del CIA Triad fue violado?</t>
  </si>
  <si>
    <t>2. Un hospital configura su sistema de expedientes para que los médicos solo puedan ver los expedientes de sus propios pacientes, y el personal administrativo solo vea datos de facturación. ¿Qué principio de diseño está aplicando?</t>
  </si>
  <si>
    <t>3. ¿Cuál de las siguientes afirmaciones describe correctamente la diferencia entre el modelo perimetral y Zero Trust?</t>
  </si>
  <si>
    <t>4. ¿Cuál de los siguientes marcos de seguridad es el único certificable por una auditoría externa?</t>
  </si>
  <si>
    <t>5. Un ransomware cifra todos los archivos de una empresa y pide rescate para devolver el acceso. ¿Qué pilar o pilares del CIA Triad fueron afectados?</t>
  </si>
  <si>
    <t>6. En el ataque a Uber (2022), el atacante convenció a un empleado de aprobar una solicitud de MFA falsa. Una vez dentro, encontró credenciales de administrador en un script de PowerShell en una carpeta compartida. ¿Qué principio de diseño fue violado al guardar esas credenciales en un lugar accesible para cualquier empleado?</t>
  </si>
  <si>
    <t>7. CIS Controls organiza sus 18 controles en tres grupos de implementación. ¿Qué describe correctamente el Grupo IG1?</t>
  </si>
  <si>
    <t>8. ¿En qué fase del ciclo de vida de la arquitectura de seguridad se realizan auditorías y pruebas de penetración?</t>
  </si>
  <si>
    <t>9. NIST CSF 2.0 agregó una nueva función que no existía en la versión 1.1. ¿Cuál es y qué pregunta responde?</t>
  </si>
  <si>
    <t>10. En el ataque a SolarWinds (2020), los atacantes insertaron código malicioso en actualizaciones legítimas del software Orion. ¿Qué fase del ciclo de vida de la arquitectura de seguridad falló principalmente?</t>
  </si>
  <si>
    <t>11. Zero Trust es un producto de seguridad que se compra e instala como un firewall.</t>
  </si>
  <si>
    <t>12. El hashing SHA-256 protege principalmente la Integridad de los datos porque genera una huella digital que detecta modificaciones.</t>
  </si>
  <si>
    <t>13. NIST CSF es obligatorio para todas las empresas que operan en Estados Unidos.</t>
  </si>
  <si>
    <t>14. La defensa en profundidad y la redundancia son lo mismo: ambas duplican controles para mayor seguridad.</t>
  </si>
  <si>
    <t>15. Los cinco pilares de Zero Trust según NIST SP 800-207 son: Identidad, Dispositivo, Red, Aplicación y Datos.</t>
  </si>
  <si>
    <t>16. En el modelo perimetral, una vez que un atacante cruza el firewall tiene acceso libre a todo el interior de la red.</t>
  </si>
  <si>
    <t>17. ISO 27001 impone los mismos controles técnicos específicos a todas las organizaciones sin importar su contexto.</t>
  </si>
  <si>
    <t>18. La disponibilidad se viola únicamente cuando hay un ataque intencional como un DDoS, no por fallos de hardware.</t>
  </si>
  <si>
    <t>19. CIS Controls v8 tiene una prescripción alta porque te dice exactamente qué hacer, no solo qué lograr.</t>
  </si>
  <si>
    <t>20. El ciclo de vida de la arquitectura de seguridad es un proceso que se ejecuta una sola vez al diseñar el sistema.</t>
  </si>
  <si>
    <t>21. El siguiente escenario combina conceptos de las tres sesiones que tuvimos. 
Léelo con cuidado y responde lo que se pide. 
Una startup de tecnología financiera almacena datos de tarjetas de crédito de sus usuarios. Su equipo de desarrollo tiene acceso completo a la base de datos de producción para "agilizar las correcciones de bugs". No tienen ningún marco de seguridad implementado formalmente. Un día, un desarrollador con acceso a producción renuncia molesto y antes de irse descarga 50,000 registros de tarjetas. El incidente no se detecta hasta tres meses después cuando los usuarios reportan cargos no reconocidos. 
Responde las tres preguntas siguientes en no más de 8 líneas en total:
- ¿Qué pilar o pilares del CIA Triad fueron violados y cómo? 
- ¿Qué principio de diseño habría limitado el daño si hubiera estado implementado desde el inicio? 
- ¿Qué marco de seguridad le recomendarías a esta empresa como punto de partida y por qué ese específicamente?</t>
  </si>
  <si>
    <t>a) Defensa en profundidad</t>
  </si>
  <si>
    <t>a) El modelo perimetral verifica cada solicitud continuamente</t>
  </si>
  <si>
    <t>c) ISO 27001</t>
  </si>
  <si>
    <t>b) Integridad y Disponibilidad</t>
  </si>
  <si>
    <t>a) Controles para infraestructura crítica que incluyen pruebas de penetración</t>
  </si>
  <si>
    <t>c) RESPOND — ¿Qué hacemos cuando ocurre un incidente?</t>
  </si>
  <si>
    <t>Falso</t>
  </si>
  <si>
    <t>Verdadero</t>
  </si>
  <si>
    <t>edgar.gonzalez1780@alumnos.udg.mx</t>
  </si>
  <si>
    <t>94 / 110</t>
  </si>
  <si>
    <t>c) Solo Confidencialidad</t>
  </si>
  <si>
    <t>d) Zero Trust</t>
  </si>
  <si>
    <t>b) Zero Trust asume que nada es confiable por defecto</t>
  </si>
  <si>
    <t>b) Mínimo privilegio</t>
  </si>
  <si>
    <t>c) Higiene básica que toda organización debe implementar y que evita el 85% de los ataques comunes</t>
  </si>
  <si>
    <t>d) Fase 4 - Verificación y validación</t>
  </si>
  <si>
    <t>b) GOVERN — ¿Cómo se toman las decisiones de seguridad?</t>
  </si>
  <si>
    <t>Fase 3 — Implementación sin validación de integridad y Fase 4 — Monitoreo insuficiente</t>
  </si>
  <si>
    <t>Confidencialidad e integridad , detección y principio del menor privilegio , nist ya que es flexible</t>
  </si>
  <si>
    <t>mahonri.martinez6831@alumnos.udg.mx</t>
  </si>
  <si>
    <t>110 / 110</t>
  </si>
  <si>
    <t>c) Mínimo privilegio</t>
  </si>
  <si>
    <t>CIA: Se violo la Confidencialidad por el robo de datos y la Integridad 
Principio: Mínimo Privilegio para que no tuviera acceso si no era necesario
Marco: CIS Controls (IG1), o Zero trust ya que al ser datos bancarios son muy delicados , y tienen que estar muy bien organizados y limpios .</t>
  </si>
  <si>
    <t>joshua.munoz6454@alumnos.udg.mx</t>
  </si>
  <si>
    <t>100 / 110</t>
  </si>
  <si>
    <t>1 se violo la confidencialidad y la integridad de forma indirecta al perder el control sobre informacion sensible
2 el principio que habria limitado el daño es el pricipio de minimo privilegio 
3 se recomienda CIS controls v8 como un punto de partida bastante bueno ya que es practico, prescriptivo y ayuda con controles basicos</t>
  </si>
  <si>
    <t>paola.fregoso5920@alumnos.udg.mx</t>
  </si>
  <si>
    <t>88 / 110</t>
  </si>
  <si>
    <t>c) Solo Disponibilidad</t>
  </si>
  <si>
    <t>c) Segmentación</t>
  </si>
  <si>
    <t>1. La confidencialidad ya que los empleados al ya no formar parte de la empresa, toda información perteneciente a ella ya es confidencial.
2. Que los desarrolladores no tuvieran acceso a la información financiera
3. El NIST ya que brinda instrucciones concretas del diseño de Arquitectura</t>
  </si>
  <si>
    <t>allison.lazos8860@alumnos.udg.mx</t>
  </si>
  <si>
    <t>104 / 110</t>
  </si>
  <si>
    <t>1. La confidencialidad ya que se descargó sin autorizacion los registros, la integridad al estar el riesgo de manipulacion de datos.
2.Mínimo privilegio habría limitado el daño, pues los desarrolladores no deberían tener acceso directo a la base de datos de producción con información sensible.
3.El ISO 27001, porque ofrece un sistema formal y flexible de gestión de la seguridad de la información.</t>
  </si>
  <si>
    <t>daphne.franco0514@alumnos.udg.mx</t>
  </si>
  <si>
    <t>Se violó la confidencialidad(los 50,000 registros de tarjetas fueron sustraídos sin autorización) e integridad (por el acceso completo que permitía las modificaciones no autorizadas a los datos. 
Considero que el principio "mínimo privilegio" habría limitado el daño al restringir acceso del desarrollador para que cada quien tenga solo lo necesario para su función. Como marco de partida recomendaría el CIS Controls v8 porque es altamente prescriptivo y prioriza acciones concretas.</t>
  </si>
  <si>
    <t>andrea.carcano4900@alumnos.udg.mx</t>
  </si>
  <si>
    <t>Se violan los pilares de confidencialidad, ya que, si bien no modificó ni hizo que se cayera ningún servicio, robó los datos para beneficio propio, debieron tener principalmente un mínimo privilegio para que no todas las personas pudieran acceder a estos servicios solo porque sí. Además, recomendaría el NIST, ya que siento que es un marco que se puede adaptar a las empresas fácilmente.</t>
  </si>
  <si>
    <t>juan.geraldo6455@alumnos.udg.mx</t>
  </si>
  <si>
    <t>El pilar que de la Triada de la Ciberseguridad que fue violado es el de la confidencialidad, puesto que la información sensible de los clientes debe de estar resguardado. El principio de diseño que habría limitado el daño en caso de ser implementado sería el de Privilegio Mínimo, puesto que los desarrolladores no debieron tener acceso a producción. El marco de seguridad recomendado para la startup es el CIS Controls (IG1), porque ofrece "higiene básica" para detener ataques comunes y organizar privilegios rápidamente.</t>
  </si>
  <si>
    <t>christian.reyes5675@alumnos.udg.mx</t>
  </si>
  <si>
    <t>90 / 110</t>
  </si>
  <si>
    <t>d) Los tres pilares simultáneamente</t>
  </si>
  <si>
    <t>d) Disponibilidad</t>
  </si>
  <si>
    <t>Se viola la confidencialidad pues accede a los datos de los registros de tarjetas de losusuarios, se hubiera evitado si se hubiera diseñado con PDCA plan do check act, se recomendaria el NIS de confidencialidad, integridad y disponibilidad, asi como el zero trust con minimos privilegios, tambien se recomienda auditorias para detectar mas rapido el evento fue anomalo la descarga de los datos pero no tenian un NGFW para detectar la anomalia por el ID- de usuario</t>
  </si>
  <si>
    <t>liliana.gonzalez1038@alumnos.udg.mx</t>
  </si>
  <si>
    <t>98 / 110</t>
  </si>
  <si>
    <t>b) Controles para organizaciones con datos sensibles que agregan gestión de vulnerabilidades</t>
  </si>
  <si>
    <t>Confidencialidad e integridad porque se expusieron los datos de los clientes y con ellos la integridad de la empresa, ya no hay confianza por tardar demasiado en detectarlo.
Principio del mínimo privilegio 
NIST CSF para la construcción de una buena estrategia de seguridad</t>
  </si>
  <si>
    <t>jorge.ponce1098@alumnos.udg.mx</t>
  </si>
  <si>
    <t>64 / 110</t>
  </si>
  <si>
    <t>b) Segmentación</t>
  </si>
  <si>
    <t>d) Los tres son certificables</t>
  </si>
  <si>
    <t>R1 = Confidencialidad e integridad
R2 = Que tuviera defensa en profundidad, ya que aun que sea el desarrollador, debería tener un limite en cuanto a los datos que ve.
R3 = Dependería bajo que leyes de que país estén regidos, pero vamos a suponer que están en México recomendaría ISO 27001, ya que es lo mínimo que deberían de tener al no tener nada establecido</t>
  </si>
  <si>
    <t>fabian.zaragoza1777@alumnos.udg.mx</t>
  </si>
  <si>
    <t>106 / 110</t>
  </si>
  <si>
    <t>- ¿Qué pilar o pilares del CIA Triad fueron violados y cómo? R:Confidencialidad ya que el desarrollador extrajo información sensible (tarjetas de crédito) sin autorización.
- ¿Qué principio de diseño habría limitado el daño si hubiera estado implementado desde el inicio? R: El principio de Mínimo Privilegio habría evitado esto; los desarrolladores no necesitan acceso total a la base de datos de producción para corregir bugs.
- ¿Qué marco de seguridad le recomendarías a esta empresa como punto de partida y por qué ese específicamente? R: Recomendaría empezar con CIS Controls (Grupo IG1). Al ser una startup que empieza de cero, este marco es ideal porque les dirá exactamente qué controles técnicos de "higiene básica" implementar paso a paso.</t>
  </si>
  <si>
    <t>25/03/2026 10:03:50</t>
  </si>
  <si>
    <t>erick.gomez@alumnos.udg.mx</t>
  </si>
  <si>
    <t>54 / 110</t>
  </si>
  <si>
    <t>d) Confidencialidad e Integridad</t>
  </si>
  <si>
    <t>c) Fase 3 - Implementación</t>
  </si>
  <si>
    <t>Fase 2 — Diseño de arquitectura</t>
  </si>
  <si>
    <t>el pilar de la CIA que afecta fue la confianza ya que los empleados confiaron sus datos y fueron utilizados de forma errónea y no se dieron cuanta .
si la infraestructura hubiera estado diseñada con confianza mínima los empleados comunes no podrían acceder a los datos y centralizar la información en un centro donde tendrían acceso es una falla critica de seguridad ya que jamas hay que confiar en el usuario cuando de datos sensibles se trata ..
el marco del iso27001 que podría establecer los puntos de riesgo que tienen y darle sugerencias de como prevenir</t>
  </si>
  <si>
    <t>diego.martinez6455@alumnos.udg.mx</t>
  </si>
  <si>
    <t>​1. ​Se violó la Confidencialidad, porque un empleado se llevó datos privados de tarjetas que no debía. También falló la Integridad, ya que la empresa perdió el control sobre la autenticidad de esa información al ser extraída sin permiso.
​2. El Mínimo privilegio, porque los desarrolladores no necesitaban acceso total a la base de datos real solo para corregir errores
3. ​Recomendaría CIS Controls porque es el mejor inicio porque son pasos muy prácticos y directos que ayudan a limpiar la higiene básica</t>
  </si>
  <si>
    <t>isis.delavega5053@alumnos.udg.mx</t>
  </si>
  <si>
    <t>85 / 110</t>
  </si>
  <si>
    <t>Confidencialidad, porque información bancaria fue usada de forma indebida por parte de un es empleado; el Zero trust hubiera funcionados para el caso, con el mínimo privilegio que se le otorgara a los empleados seria ya una mitigación. NIST, por ser un marco que funciona para múltiples tipos de organizaciones y que es adaptable a lo que es en este caso una startup financiera, se debe tener en cuenta que el presupuesto para la implementación de ciertas tecnologías es bastante elevado para aquellos que van estableciéndose en el mercado.</t>
  </si>
  <si>
    <t>maria.perez9710@alumnos.udg.mx</t>
  </si>
  <si>
    <t>62 / 110</t>
  </si>
  <si>
    <t>a) NIST CSF 2.0</t>
  </si>
  <si>
    <t>Directamente se violo la confidencialidad y la integridad de los datos, porque si bien era un empleado de la empresa, el pudo ingresar fácilmente a esta información sin problema alguno. | Al momento de crear los perfiles de los trabajadores, asignar permisos diferentes de acuerdo a su puesto de trabajo, ya que por ejemplo, alguien de mkt no tiene que ver información de finanzas; con esto hay un mayor control con información sensible. | El NIST, porque tiene una referencia de marcos de seguridad o recomendaciones de como mejorar los niveles de seguridad, de configuración, casi casi es un paso a paso.</t>
  </si>
  <si>
    <t>rogelio.acosta4009@alumnos.udg.mx</t>
  </si>
  <si>
    <t>CIA Triad: Se violó la Confidencialidad, ya que un usuario accedió y extrajo datos privados sin autorización para ese fin.
Principio de diseño: El Mínimo privilegio, pues los desarrolladores nunca debieron tener acceso a la base de datos de producción real.
Marco de seguridad: CIS Controls v8 (IG1), porque es práctico, prescriptivo y se enfoca en la higiene básica necesaria para startups</t>
  </si>
  <si>
    <t>diego.ibarra5066@alumnos.udg.mx</t>
  </si>
  <si>
    <t>96 / 110</t>
  </si>
  <si>
    <t>-Confidencialidad, los datos no fueron protegidos debidamente. 
-Que no se tenga libre acceso a la base de datos y que no se puedan conectar a fuentes de almacenamiento externo al del equipo así como limitaciones en la red para evitar que se envíen por paginas y aplicaciones externas no autorizadas.
-Recomendaría que implementen un MFA con el cliente, que cuando el cliente necesite ayuda con su tarjeta, para acceder a su información le llegue un código y se lo proporcione al operador, eso y las recomendaciones de la respuesta anterior.</t>
  </si>
  <si>
    <t>25/03/2026 10:05:43</t>
  </si>
  <si>
    <t>tania.gonzalez9708@alumnos.udg.mx</t>
  </si>
  <si>
    <t>Considero que 2 pilares de la CIA fueron violados, la Confidencialidad y la integridad, como no tuvieron los controles requeridos y la integridad por el hecho de poder manipular sus datos para realizar los cargos. El mínimo privilegio, los empleados solo deben acceder a la información mínima para realizar su trabajo, le recomiendo realizar la autenticación multifactor dependiendo la información a la que se pretende acceder.</t>
  </si>
  <si>
    <t>alvaro.rojas6455@alumnos.udg.mx</t>
  </si>
  <si>
    <t>77 / 110</t>
  </si>
  <si>
    <t>La confidencialidad solamente por qué todo siguió disponible y no se modificaron pero si se usaron las tarjetas
El mínimo privilegio hubiera sido una opción
Creo que nist estaría bien para comenzar con algo sencillo pero fuerte que pueda brincar conceptos básicos como el mínimo privilegio y confianza cero</t>
  </si>
  <si>
    <t>karol.avalos6455@alumnos.udg.mx</t>
  </si>
  <si>
    <t>66 / 110</t>
  </si>
  <si>
    <t>d) PROTECT — ¿Cómo prevenimos incidentes?</t>
  </si>
  <si>
    <t>Se violo la confidencialidad porque sus datos fueron bancarios expuestos y no aplicaron el mínimo privilegio, la integridad porque les hicieron cargos entonces no se quedaron íntegros ya que fueron modificados, diseño de arquitectura, y yo diría que el NIST ya que el Iso27001 es ya para algo más internacional entonces le recomiendo este para ir empezar con la seguridad de la empresa ya que tiene los marcos necesarios para que protejan mejor su información.</t>
  </si>
  <si>
    <t>cristian.garay1054@alumnos.udg.mx</t>
  </si>
  <si>
    <t>Fue violada la confidencialidad y la integridad de los datos.
Seria el minimo privilegio que estableceria que cada usuario debe tener acceso a la informacion y al sistema solo lo necesario para trabajar, controles de acceso, gestion de identidades, clasificacion de informacion, etc.
Se recomendaria NITS por practico y adaptable o ISO 27001 por ser estandar certificable y muy reconocido.</t>
  </si>
  <si>
    <t>gabriela.arias0485@alumnos.udg.mx</t>
  </si>
  <si>
    <t>fueron expuestos la integridad y disponibilidad</t>
  </si>
  <si>
    <t>victor.hernandez6453@alumnos.udg.mx</t>
  </si>
  <si>
    <t>99 / 110</t>
  </si>
  <si>
    <t>Confidencialidad e Integridad: Se violó la confidencialidad porque los datos fueron exfiltrados. También se afectó la integridad, ya que el desarrollador "corrompió" la confianza del sistema y alteró el flujo normal de la base de datos al realizar una descarga masiva no autorizada.
Defensa en Profundidad: Si la empresa hubiera implementado este principio, habrían tenido varios firewalls internos que habrían bloqueado la conexión del desarrollador hacia los servidores de producción, impidiendo que llegara hasta los datos.
NIST CSF: Les recomendaría este marco porque, al ser una empresa de tecnología financiera (fintech), es el estándar obligatorio por ley que deben cumplir para poder operar y procesar pagos con tarjeta de crédito de forma legal.</t>
  </si>
  <si>
    <t>tabata.hernandez8735@alumnos.udg.mx</t>
  </si>
  <si>
    <t>- Se violaron la confidencialidad (porque ya un tercero tiene acceso a ellos) y la integridad porque nada nos garantiza que no se hayan modificado o eliminado algunos datos. El principio que nos habría ayudado sería el Privilegio mínimo (para que no tuviera más accesos de los necesarios y la segregación de funciones.</t>
  </si>
  <si>
    <t>25/03/2026 10:51:10</t>
  </si>
  <si>
    <t>israel.pimentel6454@alumnos.udg.mx</t>
  </si>
  <si>
    <t>108 / 110</t>
  </si>
  <si>
    <t>La confidencialidad se rompio, ya que el desarrollador saco la informacion sin permiso.
Por lo visto solo la confidencialidad fue la afectada, porque no menciona alguna alteracion en la empresa o funcionamiento o alguna cosa mas.
Considero que es fundamental implementar políticas internas de seguridad y acuerdos de confidencialidad que restrinjan el acceso a la información</t>
  </si>
  <si>
    <t>Puntuación Provisional</t>
  </si>
  <si>
    <t>Puntos Extra Participación</t>
  </si>
  <si>
    <t>Puntos Extra Examen</t>
  </si>
  <si>
    <t>Nombre de Alumno</t>
  </si>
  <si>
    <t>GONZALEZ CUELLAR EDGAR OSWALDO</t>
  </si>
  <si>
    <t>MARTINEZ DURAN MAHONRI MORIANC</t>
  </si>
  <si>
    <t>MUÑOZ RIVAS JOSHUA</t>
  </si>
  <si>
    <t>FREGOSO SANCHEZ PAOLA</t>
  </si>
  <si>
    <t>LAZOS CRUZ ALLISON</t>
  </si>
  <si>
    <t>FRANCO ARELLANO DAPHNE WENDOLYN</t>
  </si>
  <si>
    <t>CARCAÑO AGUAYO ANDREA LISSETH</t>
  </si>
  <si>
    <t>GERALDO RUBIO JUAN ANTONIO</t>
  </si>
  <si>
    <t>REYES OLMEDO CHRISTIAN ALEJA</t>
  </si>
  <si>
    <t>GONZALEZ MEDRANO LILIANA ARALI</t>
  </si>
  <si>
    <t>PONCE RAMIREZ JORGE ALBERTO</t>
  </si>
  <si>
    <t>ZARAGOZA BRAMBILA FABIAN ISAI</t>
  </si>
  <si>
    <t>GOMEZ CASTORENA ERICK JOSUE</t>
  </si>
  <si>
    <t>MARTINEZ GUTIERREZ DIEGO EUGENIO</t>
  </si>
  <si>
    <t>DE LA VEGA SANCHEZ ISIS KAROL</t>
  </si>
  <si>
    <t>PEREZ GOMEZ MARIA ANDREA</t>
  </si>
  <si>
    <t>ACOSTA SANDOVAL ROGELIO ESAU</t>
  </si>
  <si>
    <t>IBARRA GRACIA DIEGO DAVID</t>
  </si>
  <si>
    <t>GONZALEZ CALVILLO TANIA MARIA</t>
  </si>
  <si>
    <t>ROJAS BOBADILLA ALVARO ARTURO</t>
  </si>
  <si>
    <t>AVALOS RODRIGUEZ KAROL GUADALUPE</t>
  </si>
  <si>
    <t>GARAY GUZMAN CRISTIAN RENE</t>
  </si>
  <si>
    <t>ARIAS CASTELLON GABRIELA ESPERA</t>
  </si>
  <si>
    <t>HERNANDEZ VILLANUEVA VICTOR DANIEL</t>
  </si>
  <si>
    <t>HERNANDEZ VENEGAS TABATA CRISTINA</t>
  </si>
  <si>
    <t>PIMENTEL MELGOZA ISRAEL RICARDO</t>
  </si>
  <si>
    <t>emmanuel.deluna1544@alumnos.udg.mx</t>
  </si>
  <si>
    <t>101 / 110</t>
  </si>
  <si>
    <t>confiablidad, se extrajeron datos se extrajo información sin que hubiera controles que lo impidieran o detectaran , porque tenia privilegios mínimos para acceder a ellos sin una autorización mayor o del alguien mas, usar controls cis superiores porque al no tener dichos controles, pueden volver a pasar este tipo de situaciones las cuales solo provocara la desconfianza del cliente y al implementar dichos controles le ayudaran mitigar</t>
  </si>
  <si>
    <t>DE LUNA MOZQUEDA EMMANUEL</t>
  </si>
  <si>
    <t>Puntos Extra Presentacion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</si>
</sst>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1"/>
    </font>
    <font>
      <b/>
      <sz val="13"/>
      <color rgb="FFFFFFFF"/>
      <name val="Arial"/>
      <family val="2"/>
    </font>
    <font>
      <sz val="8"/>
      <color rgb="FFFFFFFF"/>
      <name val="Arial"/>
      <family val="2"/>
    </font>
    <font>
      <b/>
      <sz val="8"/>
      <color rgb="FFFFFFFF"/>
      <name val="Arial"/>
      <family val="2"/>
    </font>
    <font>
      <b/>
      <sz val="7"/>
      <color rgb="FFFFFFFF"/>
      <name val="Arial"/>
      <family val="2"/>
    </font>
    <font>
      <b/>
      <sz val="9"/>
      <name val="Arial"/>
      <family val="2"/>
    </font>
    <font>
      <sz val="9"/>
      <name val="Arial"/>
      <family val="2"/>
    </font>
    <font>
      <sz val="8"/>
      <color rgb="FF444444"/>
      <name val="Arial"/>
      <family val="2"/>
    </font>
    <font>
      <b/>
      <sz val="9"/>
      <color rgb="FFFFFFFF"/>
      <name val="Arial"/>
      <family val="2"/>
    </font>
    <font>
      <i/>
      <sz val="8"/>
      <color rgb="FF444444"/>
      <name val="Arial"/>
      <family val="2"/>
    </font>
    <font>
      <sz val="10"/>
      <color rgb="FFFFFFFF"/>
      <name val="Roboto"/>
    </font>
    <font>
      <sz val="10"/>
      <color rgb="FF434343"/>
      <name val="Roboto"/>
    </font>
    <font>
      <sz val="10"/>
      <color theme="0"/>
      <name val="Roboto"/>
    </font>
    <font>
      <sz val="11"/>
      <color theme="0"/>
      <name val="Calibri"/>
      <family val="2"/>
      <charset val="1"/>
    </font>
    <font>
      <b/>
      <sz val="10"/>
      <color rgb="FF434343"/>
      <name val="Roboto"/>
    </font>
  </fonts>
  <fills count="20">
    <fill>
      <patternFill patternType="none"/>
    </fill>
    <fill>
      <patternFill patternType="gray125"/>
    </fill>
    <fill>
      <patternFill patternType="solid">
        <fgColor rgb="FF0F3D22"/>
        <bgColor rgb="FF333300"/>
      </patternFill>
    </fill>
    <fill>
      <patternFill patternType="solid">
        <fgColor rgb="FF1A5C33"/>
        <bgColor rgb="FF237A44"/>
      </patternFill>
    </fill>
    <fill>
      <patternFill patternType="solid">
        <fgColor rgb="FF7B6000"/>
        <bgColor rgb="FF993300"/>
      </patternFill>
    </fill>
    <fill>
      <patternFill patternType="solid">
        <fgColor rgb="FF237A44"/>
        <bgColor rgb="FF1A5C33"/>
      </patternFill>
    </fill>
    <fill>
      <patternFill patternType="solid">
        <fgColor rgb="FFF2F7F2"/>
        <bgColor rgb="FFF5F5F5"/>
      </patternFill>
    </fill>
    <fill>
      <patternFill patternType="solid">
        <fgColor rgb="FFEAF4EA"/>
        <bgColor rgb="FFF2F7F2"/>
      </patternFill>
    </fill>
    <fill>
      <patternFill patternType="solid">
        <fgColor rgb="FFFDE9E9"/>
        <bgColor rgb="FFF5F5F5"/>
      </patternFill>
    </fill>
    <fill>
      <patternFill patternType="solid">
        <fgColor rgb="FFFFF9E6"/>
        <bgColor rgb="FFF5F5F5"/>
      </patternFill>
    </fill>
    <fill>
      <patternFill patternType="solid">
        <fgColor rgb="FFFFFFFF"/>
        <bgColor rgb="FFFFF9E6"/>
      </patternFill>
    </fill>
    <fill>
      <patternFill patternType="solid">
        <fgColor rgb="FFF5F5F5"/>
        <bgColor rgb="FFF2F7F2"/>
      </patternFill>
    </fill>
    <fill>
      <patternFill patternType="solid">
        <fgColor rgb="FFFFFF00"/>
        <bgColor rgb="FF237A44"/>
      </patternFill>
    </fill>
    <fill>
      <patternFill patternType="solid">
        <fgColor rgb="FFFFFF00"/>
        <bgColor rgb="FFF5F5F5"/>
      </patternFill>
    </fill>
    <fill>
      <patternFill patternType="solid">
        <fgColor rgb="FFFFFF00"/>
        <bgColor rgb="FFFFF9E6"/>
      </patternFill>
    </fill>
    <fill>
      <patternFill patternType="solid">
        <fgColor rgb="FFFFFF00"/>
        <bgColor indexed="64"/>
      </patternFill>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3"/>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8"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2" borderId="0" xfId="0" applyFill="1"/>
    <xf numFmtId="0" fontId="4"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4" borderId="0" xfId="0" applyFill="1"/>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164" fontId="5" fillId="9"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7"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8" fillId="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12" borderId="1" xfId="0" applyFont="1" applyFill="1" applyBorder="1" applyAlignment="1">
      <alignment horizontal="center"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0" fontId="8" fillId="12" borderId="1" xfId="0" applyFont="1" applyFill="1" applyBorder="1" applyAlignment="1">
      <alignment horizontal="center" vertical="center" wrapText="1"/>
    </xf>
    <xf numFmtId="0" fontId="0" fillId="15" borderId="0" xfId="0" applyFill="1"/>
    <xf numFmtId="0" fontId="1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left" vertical="center"/>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164" fontId="5" fillId="0" borderId="1" xfId="0" applyNumberFormat="1" applyFont="1" applyBorder="1" applyAlignment="1">
      <alignment horizontal="center" vertical="center" wrapText="1"/>
    </xf>
    <xf numFmtId="0" fontId="0" fillId="15" borderId="1" xfId="0" applyFill="1" applyBorder="1" applyAlignment="1">
      <alignment horizontal="center" vertical="center" wrapText="1"/>
    </xf>
    <xf numFmtId="0" fontId="10" fillId="16" borderId="3" xfId="0" applyFont="1" applyFill="1" applyBorder="1" applyAlignment="1">
      <alignment vertical="center"/>
    </xf>
    <xf numFmtId="0" fontId="12" fillId="19" borderId="3" xfId="0" applyFont="1" applyFill="1" applyBorder="1" applyAlignment="1">
      <alignment vertical="center"/>
    </xf>
    <xf numFmtId="22" fontId="11" fillId="18" borderId="3" xfId="0" applyNumberFormat="1" applyFont="1" applyFill="1" applyBorder="1" applyAlignment="1">
      <alignment horizontal="right" vertical="center"/>
    </xf>
    <xf numFmtId="0" fontId="11" fillId="18" borderId="3" xfId="0" applyFont="1" applyFill="1" applyBorder="1" applyAlignment="1">
      <alignment vertical="center"/>
    </xf>
    <xf numFmtId="0" fontId="11" fillId="18" borderId="3" xfId="0" applyFont="1" applyFill="1" applyBorder="1" applyAlignment="1">
      <alignment horizontal="right" vertical="center"/>
    </xf>
    <xf numFmtId="0" fontId="12" fillId="19" borderId="3" xfId="0" applyFont="1" applyFill="1" applyBorder="1" applyAlignment="1">
      <alignment horizontal="right" vertical="center"/>
    </xf>
    <xf numFmtId="22" fontId="11" fillId="17" borderId="3" xfId="0" applyNumberFormat="1" applyFont="1" applyFill="1" applyBorder="1" applyAlignment="1">
      <alignment horizontal="right" vertical="center"/>
    </xf>
    <xf numFmtId="0" fontId="11" fillId="17" borderId="3" xfId="0" applyFont="1" applyFill="1" applyBorder="1" applyAlignment="1">
      <alignment vertical="center"/>
    </xf>
    <xf numFmtId="0" fontId="11" fillId="17" borderId="3" xfId="0" applyFont="1" applyFill="1" applyBorder="1" applyAlignment="1">
      <alignment horizontal="right" vertical="center"/>
    </xf>
    <xf numFmtId="0" fontId="0" fillId="0" borderId="3" xfId="0" applyBorder="1" applyAlignment="1">
      <alignment horizontal="right"/>
    </xf>
    <xf numFmtId="0" fontId="14" fillId="18" borderId="3" xfId="0" applyFont="1" applyFill="1" applyBorder="1" applyAlignment="1">
      <alignment horizontal="right" vertical="center"/>
    </xf>
    <xf numFmtId="0" fontId="3" fillId="3" borderId="2" xfId="0" applyFont="1" applyFill="1" applyBorder="1" applyAlignment="1">
      <alignment horizontal="center" vertical="center" wrapText="1"/>
    </xf>
    <xf numFmtId="0" fontId="8" fillId="2" borderId="0" xfId="0" applyFont="1" applyFill="1" applyAlignment="1">
      <alignment horizontal="center" vertical="center" wrapText="1"/>
    </xf>
    <xf numFmtId="0" fontId="9" fillId="11" borderId="0" xfId="0" applyFont="1" applyFill="1" applyAlignment="1">
      <alignment horizontal="left" vertical="center"/>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2" xfId="0" applyFont="1" applyFill="1" applyBorder="1" applyAlignment="1">
      <alignment horizontal="center" vertical="center" wrapText="1"/>
    </xf>
  </cellXfs>
  <cellStyles count="1">
    <cellStyle name="Normal" xfId="0" builtinId="0"/>
  </cellStyles>
  <dxfs count="2">
    <dxf>
      <fill>
        <patternFill>
          <bgColor rgb="FFCCFFCC"/>
        </patternFill>
      </fill>
    </dxf>
    <dxf>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C33"/>
      <rgbColor rgb="FF000080"/>
      <rgbColor rgb="FF7B6000"/>
      <rgbColor rgb="FF800080"/>
      <rgbColor rgb="FF008080"/>
      <rgbColor rgb="FFCCCCCC"/>
      <rgbColor rgb="FF808080"/>
      <rgbColor rgb="FF9999FF"/>
      <rgbColor rgb="FF993366"/>
      <rgbColor rgb="FFFFF9E6"/>
      <rgbColor rgb="FFEAF4EA"/>
      <rgbColor rgb="FF660066"/>
      <rgbColor rgb="FFFF8080"/>
      <rgbColor rgb="FF0066CC"/>
      <rgbColor rgb="FFF5F5F5"/>
      <rgbColor rgb="FF000080"/>
      <rgbColor rgb="FFFF00FF"/>
      <rgbColor rgb="FFFFFF00"/>
      <rgbColor rgb="FF00FFFF"/>
      <rgbColor rgb="FF800080"/>
      <rgbColor rgb="FF800000"/>
      <rgbColor rgb="FF008080"/>
      <rgbColor rgb="FF0000FF"/>
      <rgbColor rgb="FF00CCFF"/>
      <rgbColor rgb="FFF2F7F2"/>
      <rgbColor rgb="FFCCFFCC"/>
      <rgbColor rgb="FFFDE9E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237A44"/>
      <rgbColor rgb="FF0F3D22"/>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72BD36-4CC6-407E-9D47-9DA25B605694}">
  <we:reference id="wa200009404" version="1.0.0.8" store="en-US" storeType="OMEX"/>
  <we:alternateReferences>
    <we:reference id="WA200009404" version="1.0.0.8" store="" storeType="OMEX"/>
  </we:alternateReferences>
  <we:properties>
    <we:property name="claude.fileId" value="&quot;cd3cee39-8064-473a-b1ea-18d85a69773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5"/>
  <sheetViews>
    <sheetView tabSelected="1" zoomScaleNormal="100" workbookViewId="0">
      <pane xSplit="4" ySplit="5" topLeftCell="E6" activePane="bottomRight" state="frozen"/>
      <selection pane="topRight" activeCell="E1" sqref="E1"/>
      <selection pane="bottomLeft" activeCell="A6" sqref="A6"/>
      <selection pane="bottomRight" activeCell="C10" sqref="C10"/>
    </sheetView>
  </sheetViews>
  <sheetFormatPr defaultColWidth="8.7109375" defaultRowHeight="15" x14ac:dyDescent="0.25"/>
  <cols>
    <col min="1" max="1" width="4" customWidth="1"/>
    <col min="2" max="2" width="22" customWidth="1"/>
    <col min="3" max="3" width="20" customWidth="1"/>
    <col min="4" max="4" width="12" customWidth="1"/>
    <col min="5" max="5" width="10.7109375" customWidth="1"/>
    <col min="6" max="6" width="10.140625" hidden="1" customWidth="1"/>
    <col min="7" max="7" width="11.140625" customWidth="1"/>
    <col min="8" max="18" width="4.42578125" customWidth="1"/>
    <col min="19" max="19" width="7" customWidth="1"/>
    <col min="20" max="33" width="4.42578125" customWidth="1"/>
    <col min="34" max="34" width="4.42578125" style="26" customWidth="1"/>
    <col min="35" max="39" width="4.42578125" customWidth="1"/>
    <col min="40" max="41" width="7" customWidth="1"/>
    <col min="42" max="42" width="9" customWidth="1"/>
  </cols>
  <sheetData>
    <row r="1" spans="1:42" ht="25.5" customHeight="1" x14ac:dyDescent="0.25">
      <c r="A1" s="48" t="s">
        <v>0</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row>
    <row r="2" spans="1:42" ht="15.75" customHeight="1" x14ac:dyDescent="0.25">
      <c r="A2" s="49" t="s">
        <v>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row>
    <row r="3" spans="1:42" ht="19.5" customHeight="1" x14ac:dyDescent="0.25">
      <c r="A3" s="3" t="s">
        <v>2</v>
      </c>
      <c r="B3" s="3" t="s">
        <v>3</v>
      </c>
      <c r="C3" s="3" t="s">
        <v>4</v>
      </c>
      <c r="D3" s="3" t="s">
        <v>5</v>
      </c>
      <c r="E3" s="2" t="s">
        <v>274</v>
      </c>
      <c r="F3" s="2" t="s">
        <v>307</v>
      </c>
      <c r="G3" s="2" t="s">
        <v>275</v>
      </c>
      <c r="H3" s="50" t="s">
        <v>6</v>
      </c>
      <c r="I3" s="50"/>
      <c r="J3" s="45" t="s">
        <v>7</v>
      </c>
      <c r="K3" s="45"/>
      <c r="L3" s="50" t="s">
        <v>8</v>
      </c>
      <c r="M3" s="50"/>
      <c r="N3" s="45" t="s">
        <v>9</v>
      </c>
      <c r="O3" s="45"/>
      <c r="P3" s="50" t="s">
        <v>10</v>
      </c>
      <c r="Q3" s="50"/>
      <c r="R3" s="45" t="s">
        <v>11</v>
      </c>
      <c r="S3" s="45"/>
      <c r="T3" s="50" t="s">
        <v>12</v>
      </c>
      <c r="U3" s="50"/>
      <c r="V3" s="45" t="s">
        <v>13</v>
      </c>
      <c r="W3" s="45"/>
      <c r="X3" s="50" t="s">
        <v>14</v>
      </c>
      <c r="Y3" s="50"/>
      <c r="Z3" s="45" t="s">
        <v>15</v>
      </c>
      <c r="AA3" s="45"/>
      <c r="AB3" s="50" t="s">
        <v>16</v>
      </c>
      <c r="AC3" s="50"/>
      <c r="AD3" s="45" t="s">
        <v>17</v>
      </c>
      <c r="AE3" s="45"/>
      <c r="AF3" s="50" t="s">
        <v>18</v>
      </c>
      <c r="AG3" s="50"/>
      <c r="AH3" s="45" t="s">
        <v>19</v>
      </c>
      <c r="AI3" s="45"/>
      <c r="AJ3" s="50" t="s">
        <v>20</v>
      </c>
      <c r="AK3" s="50"/>
      <c r="AL3" s="45" t="s">
        <v>21</v>
      </c>
      <c r="AM3" s="45"/>
      <c r="AN3" s="4" t="s">
        <v>22</v>
      </c>
      <c r="AO3" s="4" t="s">
        <v>23</v>
      </c>
      <c r="AP3" s="4" t="s">
        <v>24</v>
      </c>
    </row>
    <row r="4" spans="1:42" ht="13.5" customHeight="1" x14ac:dyDescent="0.25">
      <c r="A4" s="5"/>
      <c r="B4" s="5"/>
      <c r="C4" s="5"/>
      <c r="D4" s="5"/>
      <c r="E4" s="5"/>
      <c r="F4" s="5"/>
      <c r="G4" s="5"/>
      <c r="H4" s="6" t="s">
        <v>25</v>
      </c>
      <c r="I4" s="7" t="s">
        <v>26</v>
      </c>
      <c r="J4" s="6" t="s">
        <v>25</v>
      </c>
      <c r="K4" s="7" t="s">
        <v>26</v>
      </c>
      <c r="L4" s="6" t="s">
        <v>25</v>
      </c>
      <c r="M4" s="7" t="s">
        <v>26</v>
      </c>
      <c r="N4" s="6" t="s">
        <v>25</v>
      </c>
      <c r="O4" s="7" t="s">
        <v>26</v>
      </c>
      <c r="P4" s="6" t="s">
        <v>25</v>
      </c>
      <c r="Q4" s="7" t="s">
        <v>26</v>
      </c>
      <c r="R4" s="6" t="s">
        <v>25</v>
      </c>
      <c r="S4" s="7" t="s">
        <v>26</v>
      </c>
      <c r="T4" s="6" t="s">
        <v>25</v>
      </c>
      <c r="U4" s="7" t="s">
        <v>26</v>
      </c>
      <c r="V4" s="6" t="s">
        <v>25</v>
      </c>
      <c r="W4" s="7" t="s">
        <v>26</v>
      </c>
      <c r="X4" s="6" t="s">
        <v>25</v>
      </c>
      <c r="Y4" s="7" t="s">
        <v>26</v>
      </c>
      <c r="Z4" s="6" t="s">
        <v>25</v>
      </c>
      <c r="AA4" s="7" t="s">
        <v>26</v>
      </c>
      <c r="AB4" s="6" t="s">
        <v>25</v>
      </c>
      <c r="AC4" s="7" t="s">
        <v>26</v>
      </c>
      <c r="AD4" s="6" t="s">
        <v>25</v>
      </c>
      <c r="AE4" s="7" t="s">
        <v>26</v>
      </c>
      <c r="AF4" s="6" t="s">
        <v>25</v>
      </c>
      <c r="AG4" s="7" t="s">
        <v>26</v>
      </c>
      <c r="AH4" s="22" t="s">
        <v>25</v>
      </c>
      <c r="AI4" s="7" t="s">
        <v>26</v>
      </c>
      <c r="AJ4" s="6" t="s">
        <v>25</v>
      </c>
      <c r="AK4" s="7" t="s">
        <v>26</v>
      </c>
      <c r="AL4" s="6" t="s">
        <v>25</v>
      </c>
      <c r="AM4" s="7" t="s">
        <v>26</v>
      </c>
      <c r="AN4" s="8"/>
      <c r="AO4" s="8"/>
      <c r="AP4" s="8"/>
    </row>
    <row r="5" spans="1:42" ht="27.75" customHeight="1" x14ac:dyDescent="0.25">
      <c r="A5" s="5"/>
      <c r="B5" s="5"/>
      <c r="C5" s="5"/>
      <c r="D5" s="5"/>
      <c r="E5" s="5"/>
      <c r="F5" s="5"/>
      <c r="G5" s="5"/>
      <c r="H5" s="6" t="s">
        <v>27</v>
      </c>
      <c r="I5" s="7" t="s">
        <v>28</v>
      </c>
      <c r="J5" s="6" t="s">
        <v>29</v>
      </c>
      <c r="K5" s="7" t="s">
        <v>30</v>
      </c>
      <c r="L5" s="6" t="s">
        <v>31</v>
      </c>
      <c r="M5" s="7" t="s">
        <v>32</v>
      </c>
      <c r="N5" s="6" t="s">
        <v>33</v>
      </c>
      <c r="O5" s="7" t="s">
        <v>34</v>
      </c>
      <c r="P5" s="6" t="s">
        <v>35</v>
      </c>
      <c r="Q5" s="7" t="s">
        <v>36</v>
      </c>
      <c r="R5" s="6" t="s">
        <v>37</v>
      </c>
      <c r="S5" s="7" t="s">
        <v>38</v>
      </c>
      <c r="T5" s="6" t="s">
        <v>39</v>
      </c>
      <c r="U5" s="7" t="s">
        <v>40</v>
      </c>
      <c r="V5" s="6" t="s">
        <v>41</v>
      </c>
      <c r="W5" s="7" t="s">
        <v>42</v>
      </c>
      <c r="X5" s="6" t="s">
        <v>43</v>
      </c>
      <c r="Y5" s="7" t="s">
        <v>44</v>
      </c>
      <c r="Z5" s="6" t="s">
        <v>45</v>
      </c>
      <c r="AA5" s="7" t="s">
        <v>46</v>
      </c>
      <c r="AB5" s="6" t="s">
        <v>47</v>
      </c>
      <c r="AC5" s="7" t="s">
        <v>48</v>
      </c>
      <c r="AD5" s="6" t="s">
        <v>49</v>
      </c>
      <c r="AE5" s="7" t="s">
        <v>50</v>
      </c>
      <c r="AF5" s="6" t="s">
        <v>51</v>
      </c>
      <c r="AG5" s="7" t="s">
        <v>52</v>
      </c>
      <c r="AH5" s="22" t="s">
        <v>53</v>
      </c>
      <c r="AI5" s="7" t="s">
        <v>54</v>
      </c>
      <c r="AJ5" s="6" t="s">
        <v>55</v>
      </c>
      <c r="AK5" s="7" t="s">
        <v>56</v>
      </c>
      <c r="AL5" s="6" t="s">
        <v>57</v>
      </c>
      <c r="AM5" s="7" t="s">
        <v>58</v>
      </c>
      <c r="AN5" s="8"/>
      <c r="AO5" s="8"/>
      <c r="AP5" s="8"/>
    </row>
    <row r="6" spans="1:42" ht="15" customHeight="1" x14ac:dyDescent="0.25">
      <c r="A6" s="9">
        <v>1</v>
      </c>
      <c r="B6" s="10" t="s">
        <v>59</v>
      </c>
      <c r="C6" s="10" t="s">
        <v>60</v>
      </c>
      <c r="D6" s="11" t="s">
        <v>61</v>
      </c>
      <c r="E6" s="11"/>
      <c r="F6" s="11"/>
      <c r="G6" s="11">
        <f>IFERROR(ROUND(_xlfn.XLOOKUP(B6&amp;" "&amp;C6,'Examen 1'!B$2:B$27,'Examen 1'!E$2:E$27,0)/100*5,1),0)</f>
        <v>5</v>
      </c>
      <c r="H6" s="19" t="s">
        <v>145</v>
      </c>
      <c r="I6" s="19" t="s">
        <v>145</v>
      </c>
      <c r="J6" s="19" t="s">
        <v>145</v>
      </c>
      <c r="K6" s="19" t="s">
        <v>145</v>
      </c>
      <c r="L6" s="19" t="s">
        <v>145</v>
      </c>
      <c r="M6" s="19" t="s">
        <v>145</v>
      </c>
      <c r="N6" s="19" t="s">
        <v>145</v>
      </c>
      <c r="O6" s="19" t="s">
        <v>145</v>
      </c>
      <c r="P6" s="19" t="s">
        <v>145</v>
      </c>
      <c r="Q6" s="19" t="s">
        <v>145</v>
      </c>
      <c r="R6" s="19" t="s">
        <v>145</v>
      </c>
      <c r="S6" s="19" t="s">
        <v>145</v>
      </c>
      <c r="T6" s="19" t="s">
        <v>145</v>
      </c>
      <c r="U6" s="19" t="s">
        <v>145</v>
      </c>
      <c r="V6" s="19" t="s">
        <v>145</v>
      </c>
      <c r="W6" s="19" t="s">
        <v>145</v>
      </c>
      <c r="X6" s="19" t="s">
        <v>145</v>
      </c>
      <c r="Y6" s="19" t="s">
        <v>146</v>
      </c>
      <c r="Z6" s="19" t="s">
        <v>146</v>
      </c>
      <c r="AA6" s="19" t="s">
        <v>146</v>
      </c>
      <c r="AB6" s="12" t="s">
        <v>145</v>
      </c>
      <c r="AC6" s="12" t="s">
        <v>145</v>
      </c>
      <c r="AD6" s="12" t="s">
        <v>145</v>
      </c>
      <c r="AE6" s="12" t="s">
        <v>145</v>
      </c>
      <c r="AF6" s="12" t="s">
        <v>145</v>
      </c>
      <c r="AG6" s="19" t="s">
        <v>145</v>
      </c>
      <c r="AH6" s="23"/>
      <c r="AI6" s="19" t="s">
        <v>146</v>
      </c>
      <c r="AJ6" s="12"/>
      <c r="AK6" s="19" t="s">
        <v>146</v>
      </c>
      <c r="AL6" s="12"/>
      <c r="AM6" s="19" t="s">
        <v>146</v>
      </c>
      <c r="AN6" s="13">
        <f t="shared" ref="AN6:AN32" si="0">COUNTIF(H6,"A")+COUNTIF(I6,"A")+COUNTIF(J6,"A")+COUNTIF(K6,"A")+COUNTIF(L6,"A")+COUNTIF(M6,"A")+COUNTIF(N6,"A")+COUNTIF(O6,"A")+COUNTIF(P6,"A")+COUNTIF(Q6,"A")+COUNTIF(R6,"A")+COUNTIF(S6,"A")+COUNTIF(T6,"A")+COUNTIF(U6,"A")+COUNTIF(V6,"A")+COUNTIF(W6,"A")+COUNTIF(X6,"A")+COUNTIF(Y6,"A")+COUNTIF(Z6,"A")+COUNTIF(AA6,"A")+COUNTIF(AB6,"A")+COUNTIF(AC6,"A")+COUNTIF(AD6,"A")+COUNTIF(AE6,"A")+COUNTIF(AF6,"A")+COUNTIF(AG6,"A")+COUNTIF(AH6,"A")+COUNTIF(AI6,"A")+COUNTIF(AJ6,"A")+COUNTIF(AK6,"A")+COUNTIF(AL6,"A")+COUNTIF(AM6,"A")</f>
        <v>23</v>
      </c>
      <c r="AO6" s="14">
        <f t="shared" ref="AO6:AO32" si="1">COUNTIF(H6,"F")+COUNTIF(I6,"F")+COUNTIF(J6,"F")+COUNTIF(K6,"F")+COUNTIF(L6,"F")+COUNTIF(M6,"F")+COUNTIF(N6,"F")+COUNTIF(O6,"F")+COUNTIF(P6,"F")+COUNTIF(Q6,"F")+COUNTIF(R6,"F")+COUNTIF(S6,"F")+COUNTIF(T6,"F")+COUNTIF(U6,"F")+COUNTIF(V6,"F")+COUNTIF(W6,"F")+COUNTIF(X6,"F")+COUNTIF(Y6,"F")+COUNTIF(Z6,"F")+COUNTIF(AA6,"F")+COUNTIF(AB6,"F")+COUNTIF(AC6,"F")+COUNTIF(AD6,"F")+COUNTIF(AE6,"F")+COUNTIF(AF6,"F")+COUNTIF(AG6,"F")+COUNTIF(AH6,"F")+COUNTIF(AI6,"F")+COUNTIF(AJ6,"F")+COUNTIF(AK6,"F")+COUNTIF(AL6,"F")+COUNTIF(AM6,"F")</f>
        <v>0</v>
      </c>
      <c r="AP6" s="15">
        <f t="shared" ref="AP6:AP32" si="2">IF(AN6=0,"",AN6/32)</f>
        <v>0.71875</v>
      </c>
    </row>
    <row r="7" spans="1:42" ht="15" customHeight="1" x14ac:dyDescent="0.25">
      <c r="A7" s="16">
        <v>2</v>
      </c>
      <c r="B7" s="17" t="s">
        <v>62</v>
      </c>
      <c r="C7" s="17" t="s">
        <v>63</v>
      </c>
      <c r="D7" s="18" t="s">
        <v>64</v>
      </c>
      <c r="E7" s="18"/>
      <c r="F7" s="18"/>
      <c r="G7" s="11">
        <f>IFERROR(ROUND(_xlfn.XLOOKUP(B7&amp;" "&amp;C7,'Examen 1'!B$2:B$27,'Examen 1'!E$2:E$27,0)/100*5,1),0)</f>
        <v>4.3</v>
      </c>
      <c r="H7" s="19" t="s">
        <v>145</v>
      </c>
      <c r="I7" s="19" t="s">
        <v>145</v>
      </c>
      <c r="J7" s="19" t="s">
        <v>145</v>
      </c>
      <c r="K7" s="19" t="s">
        <v>145</v>
      </c>
      <c r="L7" s="19" t="s">
        <v>145</v>
      </c>
      <c r="M7" s="19" t="s">
        <v>145</v>
      </c>
      <c r="N7" s="19" t="s">
        <v>145</v>
      </c>
      <c r="O7" s="19" t="s">
        <v>145</v>
      </c>
      <c r="P7" s="19" t="s">
        <v>145</v>
      </c>
      <c r="Q7" s="19" t="s">
        <v>145</v>
      </c>
      <c r="R7" s="19" t="s">
        <v>145</v>
      </c>
      <c r="S7" s="19" t="s">
        <v>145</v>
      </c>
      <c r="T7" s="19" t="s">
        <v>145</v>
      </c>
      <c r="U7" s="19" t="s">
        <v>145</v>
      </c>
      <c r="V7" s="19" t="s">
        <v>145</v>
      </c>
      <c r="W7" s="19" t="s">
        <v>145</v>
      </c>
      <c r="X7" s="19" t="s">
        <v>145</v>
      </c>
      <c r="Y7" s="19" t="s">
        <v>146</v>
      </c>
      <c r="Z7" s="19" t="s">
        <v>146</v>
      </c>
      <c r="AA7" s="19" t="s">
        <v>146</v>
      </c>
      <c r="AB7" s="12" t="s">
        <v>145</v>
      </c>
      <c r="AC7" s="19" t="s">
        <v>145</v>
      </c>
      <c r="AD7" s="12" t="s">
        <v>145</v>
      </c>
      <c r="AE7" s="12" t="s">
        <v>145</v>
      </c>
      <c r="AF7" s="12" t="s">
        <v>145</v>
      </c>
      <c r="AG7" s="19" t="s">
        <v>145</v>
      </c>
      <c r="AH7" s="24"/>
      <c r="AI7" s="19" t="s">
        <v>146</v>
      </c>
      <c r="AJ7" s="19"/>
      <c r="AK7" s="19" t="s">
        <v>146</v>
      </c>
      <c r="AL7" s="19"/>
      <c r="AM7" s="19" t="s">
        <v>146</v>
      </c>
      <c r="AN7" s="13">
        <f t="shared" si="0"/>
        <v>23</v>
      </c>
      <c r="AO7" s="14">
        <f t="shared" si="1"/>
        <v>0</v>
      </c>
      <c r="AP7" s="15">
        <f t="shared" si="2"/>
        <v>0.71875</v>
      </c>
    </row>
    <row r="8" spans="1:42" ht="15" customHeight="1" x14ac:dyDescent="0.25">
      <c r="A8" s="9">
        <v>3</v>
      </c>
      <c r="B8" s="10" t="s">
        <v>65</v>
      </c>
      <c r="C8" s="10" t="s">
        <v>66</v>
      </c>
      <c r="D8" s="11" t="s">
        <v>67</v>
      </c>
      <c r="E8" s="11">
        <v>1</v>
      </c>
      <c r="F8" s="11"/>
      <c r="G8" s="11">
        <f>IFERROR(ROUND(_xlfn.XLOOKUP(B8&amp;" "&amp;C8,'Examen 1'!B$2:B$27,'Examen 1'!E$2:E$27,0)/100*5,1),0)</f>
        <v>3.3</v>
      </c>
      <c r="H8" s="19" t="s">
        <v>145</v>
      </c>
      <c r="I8" s="19" t="s">
        <v>145</v>
      </c>
      <c r="J8" s="19" t="s">
        <v>145</v>
      </c>
      <c r="K8" s="19" t="s">
        <v>145</v>
      </c>
      <c r="L8" s="19" t="s">
        <v>145</v>
      </c>
      <c r="M8" s="19" t="s">
        <v>145</v>
      </c>
      <c r="N8" s="19" t="s">
        <v>145</v>
      </c>
      <c r="O8" s="19" t="s">
        <v>145</v>
      </c>
      <c r="P8" s="19" t="s">
        <v>145</v>
      </c>
      <c r="Q8" s="19" t="s">
        <v>145</v>
      </c>
      <c r="R8" s="19" t="s">
        <v>145</v>
      </c>
      <c r="S8" s="19" t="s">
        <v>145</v>
      </c>
      <c r="T8" s="19" t="s">
        <v>145</v>
      </c>
      <c r="U8" s="19" t="s">
        <v>145</v>
      </c>
      <c r="V8" s="19" t="s">
        <v>145</v>
      </c>
      <c r="W8" s="19" t="s">
        <v>145</v>
      </c>
      <c r="X8" s="19" t="s">
        <v>145</v>
      </c>
      <c r="Y8" s="19" t="s">
        <v>146</v>
      </c>
      <c r="Z8" s="19" t="s">
        <v>146</v>
      </c>
      <c r="AA8" s="19" t="s">
        <v>146</v>
      </c>
      <c r="AB8" s="12" t="s">
        <v>145</v>
      </c>
      <c r="AC8" s="12" t="s">
        <v>145</v>
      </c>
      <c r="AD8" s="12" t="s">
        <v>145</v>
      </c>
      <c r="AE8" s="12" t="s">
        <v>145</v>
      </c>
      <c r="AF8" s="12" t="s">
        <v>145</v>
      </c>
      <c r="AG8" s="19" t="s">
        <v>145</v>
      </c>
      <c r="AH8" s="23"/>
      <c r="AI8" s="19" t="s">
        <v>146</v>
      </c>
      <c r="AJ8" s="12"/>
      <c r="AK8" s="19" t="s">
        <v>146</v>
      </c>
      <c r="AL8" s="12"/>
      <c r="AM8" s="19" t="s">
        <v>146</v>
      </c>
      <c r="AN8" s="13">
        <f t="shared" si="0"/>
        <v>23</v>
      </c>
      <c r="AO8" s="14">
        <f t="shared" si="1"/>
        <v>0</v>
      </c>
      <c r="AP8" s="15">
        <f t="shared" si="2"/>
        <v>0.71875</v>
      </c>
    </row>
    <row r="9" spans="1:42" ht="15" customHeight="1" x14ac:dyDescent="0.25">
      <c r="A9" s="16">
        <v>4</v>
      </c>
      <c r="B9" s="17" t="s">
        <v>68</v>
      </c>
      <c r="C9" s="17" t="s">
        <v>69</v>
      </c>
      <c r="D9" s="18" t="s">
        <v>70</v>
      </c>
      <c r="E9" s="18"/>
      <c r="F9" s="18"/>
      <c r="G9" s="11">
        <f>IFERROR(ROUND(_xlfn.XLOOKUP(B9&amp;" "&amp;C9,'Examen 1'!B$2:B$27,'Examen 1'!E$2:E$27,0)/100*5,1),0)</f>
        <v>5</v>
      </c>
      <c r="H9" s="19" t="s">
        <v>145</v>
      </c>
      <c r="I9" s="19" t="s">
        <v>145</v>
      </c>
      <c r="J9" s="19" t="s">
        <v>145</v>
      </c>
      <c r="K9" s="19" t="s">
        <v>145</v>
      </c>
      <c r="L9" s="19" t="s">
        <v>145</v>
      </c>
      <c r="M9" s="19" t="s">
        <v>145</v>
      </c>
      <c r="N9" s="19" t="s">
        <v>145</v>
      </c>
      <c r="O9" s="19" t="s">
        <v>145</v>
      </c>
      <c r="P9" s="19" t="s">
        <v>145</v>
      </c>
      <c r="Q9" s="19" t="s">
        <v>145</v>
      </c>
      <c r="R9" s="19" t="s">
        <v>145</v>
      </c>
      <c r="S9" s="19" t="s">
        <v>145</v>
      </c>
      <c r="T9" s="19" t="s">
        <v>145</v>
      </c>
      <c r="U9" s="19" t="s">
        <v>145</v>
      </c>
      <c r="V9" s="19" t="s">
        <v>145</v>
      </c>
      <c r="W9" s="19" t="s">
        <v>145</v>
      </c>
      <c r="X9" s="19" t="s">
        <v>145</v>
      </c>
      <c r="Y9" s="19" t="s">
        <v>146</v>
      </c>
      <c r="Z9" s="19" t="s">
        <v>146</v>
      </c>
      <c r="AA9" s="19" t="s">
        <v>146</v>
      </c>
      <c r="AB9" s="12" t="s">
        <v>145</v>
      </c>
      <c r="AC9" s="19" t="s">
        <v>145</v>
      </c>
      <c r="AD9" s="12" t="s">
        <v>145</v>
      </c>
      <c r="AE9" s="12" t="s">
        <v>145</v>
      </c>
      <c r="AF9" s="12" t="s">
        <v>145</v>
      </c>
      <c r="AG9" s="19" t="s">
        <v>145</v>
      </c>
      <c r="AH9" s="24"/>
      <c r="AI9" s="19" t="s">
        <v>146</v>
      </c>
      <c r="AJ9" s="19"/>
      <c r="AK9" s="19" t="s">
        <v>146</v>
      </c>
      <c r="AL9" s="19"/>
      <c r="AM9" s="19" t="s">
        <v>146</v>
      </c>
      <c r="AN9" s="13">
        <f t="shared" si="0"/>
        <v>23</v>
      </c>
      <c r="AO9" s="14">
        <f t="shared" si="1"/>
        <v>0</v>
      </c>
      <c r="AP9" s="15">
        <f t="shared" si="2"/>
        <v>0.71875</v>
      </c>
    </row>
    <row r="10" spans="1:42" ht="15" customHeight="1" x14ac:dyDescent="0.25">
      <c r="A10" s="9">
        <v>5</v>
      </c>
      <c r="B10" s="10" t="s">
        <v>71</v>
      </c>
      <c r="C10" s="10" t="s">
        <v>72</v>
      </c>
      <c r="D10" s="11" t="s">
        <v>73</v>
      </c>
      <c r="E10" s="11">
        <v>1.5</v>
      </c>
      <c r="F10" s="11">
        <v>5</v>
      </c>
      <c r="G10" s="11">
        <f>IFERROR(ROUND(_xlfn.XLOOKUP(B10&amp;" "&amp;C10,'Examen 1'!B$2:B$27,'Examen 1'!E$2:E$27,0)/100*5,1),0)</f>
        <v>4.3</v>
      </c>
      <c r="H10" s="19" t="s">
        <v>145</v>
      </c>
      <c r="I10" s="19" t="s">
        <v>145</v>
      </c>
      <c r="J10" s="19" t="s">
        <v>145</v>
      </c>
      <c r="K10" s="19" t="s">
        <v>145</v>
      </c>
      <c r="L10" s="19" t="s">
        <v>145</v>
      </c>
      <c r="M10" s="19" t="s">
        <v>145</v>
      </c>
      <c r="N10" s="19" t="s">
        <v>145</v>
      </c>
      <c r="O10" s="19" t="s">
        <v>145</v>
      </c>
      <c r="P10" s="19" t="s">
        <v>145</v>
      </c>
      <c r="Q10" s="19" t="s">
        <v>145</v>
      </c>
      <c r="R10" s="19" t="s">
        <v>145</v>
      </c>
      <c r="S10" s="19" t="s">
        <v>145</v>
      </c>
      <c r="T10" s="19" t="s">
        <v>145</v>
      </c>
      <c r="U10" s="19" t="s">
        <v>145</v>
      </c>
      <c r="V10" s="19" t="s">
        <v>145</v>
      </c>
      <c r="W10" s="19" t="s">
        <v>145</v>
      </c>
      <c r="X10" s="19" t="s">
        <v>145</v>
      </c>
      <c r="Y10" s="19" t="s">
        <v>146</v>
      </c>
      <c r="Z10" s="19" t="s">
        <v>146</v>
      </c>
      <c r="AA10" s="19" t="s">
        <v>146</v>
      </c>
      <c r="AB10" s="12" t="s">
        <v>145</v>
      </c>
      <c r="AC10" s="12" t="s">
        <v>145</v>
      </c>
      <c r="AD10" s="12" t="s">
        <v>145</v>
      </c>
      <c r="AE10" s="12" t="s">
        <v>145</v>
      </c>
      <c r="AF10" s="12" t="s">
        <v>145</v>
      </c>
      <c r="AG10" s="19" t="s">
        <v>145</v>
      </c>
      <c r="AH10" s="23"/>
      <c r="AI10" s="19" t="s">
        <v>146</v>
      </c>
      <c r="AJ10" s="12"/>
      <c r="AK10" s="19" t="s">
        <v>146</v>
      </c>
      <c r="AL10" s="12"/>
      <c r="AM10" s="19" t="s">
        <v>146</v>
      </c>
      <c r="AN10" s="13">
        <f t="shared" si="0"/>
        <v>23</v>
      </c>
      <c r="AO10" s="14">
        <f t="shared" si="1"/>
        <v>0</v>
      </c>
      <c r="AP10" s="15">
        <f t="shared" si="2"/>
        <v>0.71875</v>
      </c>
    </row>
    <row r="11" spans="1:42" ht="15" customHeight="1" x14ac:dyDescent="0.25">
      <c r="A11" s="16">
        <v>6</v>
      </c>
      <c r="B11" s="17" t="s">
        <v>74</v>
      </c>
      <c r="C11" s="17" t="s">
        <v>75</v>
      </c>
      <c r="D11" s="18" t="s">
        <v>76</v>
      </c>
      <c r="E11" s="18"/>
      <c r="F11" s="18"/>
      <c r="G11" s="11">
        <f>IFERROR(ROUND(_xlfn.XLOOKUP(B11&amp;" "&amp;C11,'Examen 1'!B$2:B$28,'Examen 1'!E$2:E$28,0)/100*5,1),0)</f>
        <v>5</v>
      </c>
      <c r="H11" s="19" t="s">
        <v>145</v>
      </c>
      <c r="I11" s="19" t="s">
        <v>145</v>
      </c>
      <c r="J11" s="19" t="s">
        <v>145</v>
      </c>
      <c r="K11" s="19" t="s">
        <v>145</v>
      </c>
      <c r="L11" s="19" t="s">
        <v>145</v>
      </c>
      <c r="M11" s="19" t="s">
        <v>145</v>
      </c>
      <c r="N11" s="19" t="s">
        <v>145</v>
      </c>
      <c r="O11" s="19" t="s">
        <v>145</v>
      </c>
      <c r="P11" s="19" t="s">
        <v>145</v>
      </c>
      <c r="Q11" s="19" t="s">
        <v>145</v>
      </c>
      <c r="R11" s="19" t="s">
        <v>145</v>
      </c>
      <c r="S11" s="19" t="s">
        <v>145</v>
      </c>
      <c r="T11" s="19" t="s">
        <v>145</v>
      </c>
      <c r="U11" s="19" t="s">
        <v>145</v>
      </c>
      <c r="V11" s="19" t="s">
        <v>145</v>
      </c>
      <c r="W11" s="19" t="s">
        <v>145</v>
      </c>
      <c r="X11" s="19" t="s">
        <v>145</v>
      </c>
      <c r="Y11" s="19" t="s">
        <v>146</v>
      </c>
      <c r="Z11" s="19" t="s">
        <v>146</v>
      </c>
      <c r="AA11" s="19" t="s">
        <v>146</v>
      </c>
      <c r="AB11" s="12" t="s">
        <v>145</v>
      </c>
      <c r="AC11" s="19" t="s">
        <v>145</v>
      </c>
      <c r="AD11" s="12" t="s">
        <v>145</v>
      </c>
      <c r="AE11" s="12" t="s">
        <v>145</v>
      </c>
      <c r="AF11" s="12" t="s">
        <v>145</v>
      </c>
      <c r="AG11" s="19" t="s">
        <v>145</v>
      </c>
      <c r="AH11" s="24"/>
      <c r="AI11" s="19" t="s">
        <v>146</v>
      </c>
      <c r="AJ11" s="19"/>
      <c r="AK11" s="19" t="s">
        <v>146</v>
      </c>
      <c r="AL11" s="19"/>
      <c r="AM11" s="19" t="s">
        <v>146</v>
      </c>
      <c r="AN11" s="13">
        <f t="shared" si="0"/>
        <v>23</v>
      </c>
      <c r="AO11" s="14">
        <f t="shared" si="1"/>
        <v>0</v>
      </c>
      <c r="AP11" s="15">
        <f t="shared" si="2"/>
        <v>0.71875</v>
      </c>
    </row>
    <row r="12" spans="1:42" ht="15" customHeight="1" x14ac:dyDescent="0.25">
      <c r="A12" s="9">
        <v>7</v>
      </c>
      <c r="B12" s="10" t="s">
        <v>77</v>
      </c>
      <c r="C12" s="10" t="s">
        <v>78</v>
      </c>
      <c r="D12" s="11" t="s">
        <v>79</v>
      </c>
      <c r="E12" s="11">
        <v>1</v>
      </c>
      <c r="F12" s="11"/>
      <c r="G12" s="11">
        <f>IFERROR(ROUND(_xlfn.XLOOKUP(B12&amp;" "&amp;C12,'Examen 1'!B$2:B$27,'Examen 1'!E$2:E$27,0)/100*5,1),0)</f>
        <v>5</v>
      </c>
      <c r="H12" s="19" t="s">
        <v>145</v>
      </c>
      <c r="I12" s="19" t="s">
        <v>145</v>
      </c>
      <c r="J12" s="19" t="s">
        <v>145</v>
      </c>
      <c r="K12" s="19" t="s">
        <v>145</v>
      </c>
      <c r="L12" s="19" t="s">
        <v>145</v>
      </c>
      <c r="M12" s="19" t="s">
        <v>145</v>
      </c>
      <c r="N12" s="19" t="s">
        <v>145</v>
      </c>
      <c r="O12" s="19" t="s">
        <v>145</v>
      </c>
      <c r="P12" s="19" t="s">
        <v>145</v>
      </c>
      <c r="Q12" s="19" t="s">
        <v>145</v>
      </c>
      <c r="R12" s="19" t="s">
        <v>145</v>
      </c>
      <c r="S12" s="19" t="s">
        <v>145</v>
      </c>
      <c r="T12" s="19" t="s">
        <v>145</v>
      </c>
      <c r="U12" s="19" t="s">
        <v>145</v>
      </c>
      <c r="V12" s="19" t="s">
        <v>145</v>
      </c>
      <c r="W12" s="19" t="s">
        <v>145</v>
      </c>
      <c r="X12" s="19" t="s">
        <v>145</v>
      </c>
      <c r="Y12" s="19" t="s">
        <v>146</v>
      </c>
      <c r="Z12" s="19" t="s">
        <v>146</v>
      </c>
      <c r="AA12" s="19" t="s">
        <v>146</v>
      </c>
      <c r="AB12" s="12" t="s">
        <v>145</v>
      </c>
      <c r="AC12" s="12" t="s">
        <v>145</v>
      </c>
      <c r="AD12" s="12" t="s">
        <v>145</v>
      </c>
      <c r="AE12" s="12" t="s">
        <v>145</v>
      </c>
      <c r="AF12" s="12" t="s">
        <v>145</v>
      </c>
      <c r="AG12" s="19" t="s">
        <v>145</v>
      </c>
      <c r="AH12" s="23"/>
      <c r="AI12" s="19" t="s">
        <v>146</v>
      </c>
      <c r="AJ12" s="12"/>
      <c r="AK12" s="19" t="s">
        <v>146</v>
      </c>
      <c r="AL12" s="12"/>
      <c r="AM12" s="19" t="s">
        <v>146</v>
      </c>
      <c r="AN12" s="13">
        <f t="shared" si="0"/>
        <v>23</v>
      </c>
      <c r="AO12" s="14">
        <f t="shared" si="1"/>
        <v>0</v>
      </c>
      <c r="AP12" s="15">
        <f t="shared" si="2"/>
        <v>0.71875</v>
      </c>
    </row>
    <row r="13" spans="1:42" ht="15" customHeight="1" x14ac:dyDescent="0.25">
      <c r="A13" s="16">
        <v>8</v>
      </c>
      <c r="B13" s="17" t="s">
        <v>80</v>
      </c>
      <c r="C13" s="17" t="s">
        <v>81</v>
      </c>
      <c r="D13" s="18" t="s">
        <v>82</v>
      </c>
      <c r="E13" s="18"/>
      <c r="F13" s="18"/>
      <c r="G13" s="11">
        <f>IFERROR(ROUND(_xlfn.XLOOKUP(B13&amp;" "&amp;C13,'Examen 1'!B$2:B$27,'Examen 1'!E$2:E$27,0)/100*5,1),0)</f>
        <v>4.4000000000000004</v>
      </c>
      <c r="H13" s="19" t="s">
        <v>145</v>
      </c>
      <c r="I13" s="19" t="s">
        <v>145</v>
      </c>
      <c r="J13" s="19" t="s">
        <v>145</v>
      </c>
      <c r="K13" s="19" t="s">
        <v>145</v>
      </c>
      <c r="L13" s="19" t="s">
        <v>145</v>
      </c>
      <c r="M13" s="19" t="s">
        <v>145</v>
      </c>
      <c r="N13" s="19" t="s">
        <v>145</v>
      </c>
      <c r="O13" s="19" t="s">
        <v>145</v>
      </c>
      <c r="P13" s="19" t="s">
        <v>145</v>
      </c>
      <c r="Q13" s="19" t="s">
        <v>145</v>
      </c>
      <c r="R13" s="19" t="s">
        <v>145</v>
      </c>
      <c r="S13" s="19" t="s">
        <v>145</v>
      </c>
      <c r="T13" s="19" t="s">
        <v>145</v>
      </c>
      <c r="U13" s="19" t="s">
        <v>145</v>
      </c>
      <c r="V13" s="19" t="s">
        <v>145</v>
      </c>
      <c r="W13" s="19" t="s">
        <v>145</v>
      </c>
      <c r="X13" s="19" t="s">
        <v>145</v>
      </c>
      <c r="Y13" s="19" t="s">
        <v>146</v>
      </c>
      <c r="Z13" s="19" t="s">
        <v>146</v>
      </c>
      <c r="AA13" s="19" t="s">
        <v>146</v>
      </c>
      <c r="AB13" s="12" t="s">
        <v>145</v>
      </c>
      <c r="AC13" s="19" t="s">
        <v>145</v>
      </c>
      <c r="AD13" s="12" t="s">
        <v>145</v>
      </c>
      <c r="AE13" s="12" t="s">
        <v>145</v>
      </c>
      <c r="AF13" s="12" t="s">
        <v>145</v>
      </c>
      <c r="AG13" s="19" t="s">
        <v>145</v>
      </c>
      <c r="AH13" s="24"/>
      <c r="AI13" s="19" t="s">
        <v>146</v>
      </c>
      <c r="AJ13" s="19"/>
      <c r="AK13" s="19" t="s">
        <v>146</v>
      </c>
      <c r="AL13" s="19"/>
      <c r="AM13" s="19" t="s">
        <v>146</v>
      </c>
      <c r="AN13" s="13">
        <f t="shared" si="0"/>
        <v>23</v>
      </c>
      <c r="AO13" s="14">
        <f t="shared" si="1"/>
        <v>0</v>
      </c>
      <c r="AP13" s="15">
        <f t="shared" si="2"/>
        <v>0.71875</v>
      </c>
    </row>
    <row r="14" spans="1:42" ht="15" customHeight="1" x14ac:dyDescent="0.25">
      <c r="A14" s="9">
        <v>9</v>
      </c>
      <c r="B14" s="10" t="s">
        <v>83</v>
      </c>
      <c r="C14" s="10" t="s">
        <v>84</v>
      </c>
      <c r="D14" s="11" t="s">
        <v>85</v>
      </c>
      <c r="E14" s="11"/>
      <c r="F14" s="11"/>
      <c r="G14" s="11">
        <f>IFERROR(ROUND(_xlfn.XLOOKUP(B14&amp;" "&amp;C14,'Examen 1'!B$2:B$27,'Examen 1'!E$2:E$27,0)/100*5,1),0)</f>
        <v>5</v>
      </c>
      <c r="H14" s="19" t="s">
        <v>145</v>
      </c>
      <c r="I14" s="19" t="s">
        <v>145</v>
      </c>
      <c r="J14" s="19" t="s">
        <v>145</v>
      </c>
      <c r="K14" s="19" t="s">
        <v>145</v>
      </c>
      <c r="L14" s="19" t="s">
        <v>145</v>
      </c>
      <c r="M14" s="19" t="s">
        <v>145</v>
      </c>
      <c r="N14" s="19" t="s">
        <v>145</v>
      </c>
      <c r="O14" s="19" t="s">
        <v>145</v>
      </c>
      <c r="P14" s="19" t="s">
        <v>145</v>
      </c>
      <c r="Q14" s="19" t="s">
        <v>145</v>
      </c>
      <c r="R14" s="19" t="s">
        <v>145</v>
      </c>
      <c r="S14" s="19" t="s">
        <v>145</v>
      </c>
      <c r="T14" s="19" t="s">
        <v>145</v>
      </c>
      <c r="U14" s="19" t="s">
        <v>145</v>
      </c>
      <c r="V14" s="19" t="s">
        <v>145</v>
      </c>
      <c r="W14" s="19" t="s">
        <v>145</v>
      </c>
      <c r="X14" s="19" t="s">
        <v>145</v>
      </c>
      <c r="Y14" s="19" t="s">
        <v>146</v>
      </c>
      <c r="Z14" s="19" t="s">
        <v>146</v>
      </c>
      <c r="AA14" s="19" t="s">
        <v>146</v>
      </c>
      <c r="AB14" s="12" t="s">
        <v>145</v>
      </c>
      <c r="AC14" s="12" t="s">
        <v>145</v>
      </c>
      <c r="AD14" s="12" t="s">
        <v>145</v>
      </c>
      <c r="AE14" s="12" t="s">
        <v>145</v>
      </c>
      <c r="AF14" s="12" t="s">
        <v>145</v>
      </c>
      <c r="AG14" s="19" t="s">
        <v>145</v>
      </c>
      <c r="AH14" s="23"/>
      <c r="AI14" s="19" t="s">
        <v>146</v>
      </c>
      <c r="AJ14" s="12"/>
      <c r="AK14" s="19" t="s">
        <v>146</v>
      </c>
      <c r="AL14" s="12"/>
      <c r="AM14" s="19" t="s">
        <v>146</v>
      </c>
      <c r="AN14" s="13">
        <f t="shared" si="0"/>
        <v>23</v>
      </c>
      <c r="AO14" s="14">
        <f t="shared" si="1"/>
        <v>0</v>
      </c>
      <c r="AP14" s="15">
        <f t="shared" si="2"/>
        <v>0.71875</v>
      </c>
    </row>
    <row r="15" spans="1:42" ht="15" customHeight="1" x14ac:dyDescent="0.25">
      <c r="A15" s="16">
        <v>10</v>
      </c>
      <c r="B15" s="17" t="s">
        <v>86</v>
      </c>
      <c r="C15" s="17" t="s">
        <v>87</v>
      </c>
      <c r="D15" s="18" t="s">
        <v>88</v>
      </c>
      <c r="E15" s="18">
        <v>1</v>
      </c>
      <c r="F15" s="18"/>
      <c r="G15" s="11">
        <f>IFERROR(ROUND(_xlfn.XLOOKUP(B15&amp;" "&amp;C15,'Examen 1'!B$2:B$27,'Examen 1'!E$2:E$27,0)/100*5,1),0)</f>
        <v>5</v>
      </c>
      <c r="H15" s="19" t="s">
        <v>145</v>
      </c>
      <c r="I15" s="19" t="s">
        <v>145</v>
      </c>
      <c r="J15" s="19" t="s">
        <v>145</v>
      </c>
      <c r="K15" s="19" t="s">
        <v>145</v>
      </c>
      <c r="L15" s="19" t="s">
        <v>145</v>
      </c>
      <c r="M15" s="19" t="s">
        <v>145</v>
      </c>
      <c r="N15" s="19" t="s">
        <v>145</v>
      </c>
      <c r="O15" s="19" t="s">
        <v>145</v>
      </c>
      <c r="P15" s="19" t="s">
        <v>145</v>
      </c>
      <c r="Q15" s="19" t="s">
        <v>145</v>
      </c>
      <c r="R15" s="19" t="s">
        <v>145</v>
      </c>
      <c r="S15" s="19" t="s">
        <v>145</v>
      </c>
      <c r="T15" s="19" t="s">
        <v>145</v>
      </c>
      <c r="U15" s="19" t="s">
        <v>145</v>
      </c>
      <c r="V15" s="19" t="s">
        <v>145</v>
      </c>
      <c r="W15" s="19" t="s">
        <v>145</v>
      </c>
      <c r="X15" s="19" t="s">
        <v>145</v>
      </c>
      <c r="Y15" s="19" t="s">
        <v>146</v>
      </c>
      <c r="Z15" s="19" t="s">
        <v>146</v>
      </c>
      <c r="AA15" s="19" t="s">
        <v>146</v>
      </c>
      <c r="AB15" s="12" t="s">
        <v>145</v>
      </c>
      <c r="AC15" s="19" t="s">
        <v>145</v>
      </c>
      <c r="AD15" s="12" t="s">
        <v>145</v>
      </c>
      <c r="AE15" s="12" t="s">
        <v>145</v>
      </c>
      <c r="AF15" s="12" t="s">
        <v>145</v>
      </c>
      <c r="AG15" s="19" t="s">
        <v>145</v>
      </c>
      <c r="AH15" s="24"/>
      <c r="AI15" s="19" t="s">
        <v>146</v>
      </c>
      <c r="AJ15" s="19"/>
      <c r="AK15" s="19" t="s">
        <v>146</v>
      </c>
      <c r="AL15" s="19"/>
      <c r="AM15" s="19" t="s">
        <v>146</v>
      </c>
      <c r="AN15" s="13">
        <f t="shared" si="0"/>
        <v>23</v>
      </c>
      <c r="AO15" s="14">
        <f t="shared" si="1"/>
        <v>0</v>
      </c>
      <c r="AP15" s="15">
        <f t="shared" si="2"/>
        <v>0.71875</v>
      </c>
    </row>
    <row r="16" spans="1:42" ht="15" customHeight="1" x14ac:dyDescent="0.25">
      <c r="A16" s="9">
        <v>11</v>
      </c>
      <c r="B16" s="10" t="s">
        <v>89</v>
      </c>
      <c r="C16" s="10" t="s">
        <v>90</v>
      </c>
      <c r="D16" s="11" t="s">
        <v>91</v>
      </c>
      <c r="E16" s="11"/>
      <c r="F16" s="11"/>
      <c r="G16" s="11">
        <f>IFERROR(ROUND(_xlfn.XLOOKUP(B16&amp;" "&amp;C16,'Examen 1'!B$2:B$27,'Examen 1'!E$2:E$27,0)/100*5,1),0)</f>
        <v>2.7</v>
      </c>
      <c r="H16" s="19" t="s">
        <v>145</v>
      </c>
      <c r="I16" s="19" t="s">
        <v>145</v>
      </c>
      <c r="J16" s="19" t="s">
        <v>145</v>
      </c>
      <c r="K16" s="19" t="s">
        <v>145</v>
      </c>
      <c r="L16" s="19" t="s">
        <v>145</v>
      </c>
      <c r="M16" s="19" t="s">
        <v>145</v>
      </c>
      <c r="N16" s="19" t="s">
        <v>145</v>
      </c>
      <c r="O16" s="19" t="s">
        <v>145</v>
      </c>
      <c r="P16" s="19" t="s">
        <v>145</v>
      </c>
      <c r="Q16" s="19" t="s">
        <v>145</v>
      </c>
      <c r="R16" s="19" t="s">
        <v>145</v>
      </c>
      <c r="S16" s="19" t="s">
        <v>145</v>
      </c>
      <c r="T16" s="19" t="s">
        <v>145</v>
      </c>
      <c r="U16" s="19" t="s">
        <v>145</v>
      </c>
      <c r="V16" s="19" t="s">
        <v>145</v>
      </c>
      <c r="W16" s="19" t="s">
        <v>145</v>
      </c>
      <c r="X16" s="19" t="s">
        <v>145</v>
      </c>
      <c r="Y16" s="19" t="s">
        <v>146</v>
      </c>
      <c r="Z16" s="19" t="s">
        <v>146</v>
      </c>
      <c r="AA16" s="19" t="s">
        <v>146</v>
      </c>
      <c r="AB16" s="12" t="s">
        <v>145</v>
      </c>
      <c r="AC16" s="12" t="s">
        <v>145</v>
      </c>
      <c r="AD16" s="12" t="s">
        <v>145</v>
      </c>
      <c r="AE16" s="12" t="s">
        <v>145</v>
      </c>
      <c r="AF16" s="12" t="s">
        <v>145</v>
      </c>
      <c r="AG16" s="19" t="s">
        <v>145</v>
      </c>
      <c r="AH16" s="23"/>
      <c r="AI16" s="19" t="s">
        <v>146</v>
      </c>
      <c r="AJ16" s="12"/>
      <c r="AK16" s="19" t="s">
        <v>146</v>
      </c>
      <c r="AL16" s="12"/>
      <c r="AM16" s="19" t="s">
        <v>146</v>
      </c>
      <c r="AN16" s="13">
        <f t="shared" si="0"/>
        <v>23</v>
      </c>
      <c r="AO16" s="14">
        <f t="shared" si="1"/>
        <v>0</v>
      </c>
      <c r="AP16" s="15">
        <f t="shared" si="2"/>
        <v>0.71875</v>
      </c>
    </row>
    <row r="17" spans="1:42" ht="15" customHeight="1" x14ac:dyDescent="0.25">
      <c r="A17" s="16">
        <v>12</v>
      </c>
      <c r="B17" s="17" t="s">
        <v>92</v>
      </c>
      <c r="C17" s="17" t="s">
        <v>93</v>
      </c>
      <c r="D17" s="18" t="s">
        <v>94</v>
      </c>
      <c r="E17" s="18"/>
      <c r="F17" s="18"/>
      <c r="G17" s="11">
        <f>IFERROR(ROUND(_xlfn.XLOOKUP(B17&amp;" "&amp;C17,'Examen 1'!B$2:B$27,'Examen 1'!E$2:E$27,0)/100*5,1),0)</f>
        <v>5</v>
      </c>
      <c r="H17" s="19" t="s">
        <v>145</v>
      </c>
      <c r="I17" s="19" t="s">
        <v>145</v>
      </c>
      <c r="J17" s="19" t="s">
        <v>145</v>
      </c>
      <c r="K17" s="19" t="s">
        <v>145</v>
      </c>
      <c r="L17" s="19" t="s">
        <v>145</v>
      </c>
      <c r="M17" s="19" t="s">
        <v>145</v>
      </c>
      <c r="N17" s="19" t="s">
        <v>145</v>
      </c>
      <c r="O17" s="19" t="s">
        <v>145</v>
      </c>
      <c r="P17" s="19" t="s">
        <v>145</v>
      </c>
      <c r="Q17" s="19" t="s">
        <v>145</v>
      </c>
      <c r="R17" s="19" t="s">
        <v>145</v>
      </c>
      <c r="S17" s="19" t="s">
        <v>145</v>
      </c>
      <c r="T17" s="19" t="s">
        <v>145</v>
      </c>
      <c r="U17" s="19" t="s">
        <v>145</v>
      </c>
      <c r="V17" s="19" t="s">
        <v>145</v>
      </c>
      <c r="W17" s="19" t="s">
        <v>145</v>
      </c>
      <c r="X17" s="19" t="s">
        <v>145</v>
      </c>
      <c r="Y17" s="19" t="s">
        <v>146</v>
      </c>
      <c r="Z17" s="19" t="s">
        <v>146</v>
      </c>
      <c r="AA17" s="19" t="s">
        <v>146</v>
      </c>
      <c r="AB17" s="12" t="s">
        <v>145</v>
      </c>
      <c r="AC17" s="19" t="s">
        <v>145</v>
      </c>
      <c r="AD17" s="12" t="s">
        <v>145</v>
      </c>
      <c r="AE17" s="12" t="s">
        <v>145</v>
      </c>
      <c r="AF17" s="12" t="s">
        <v>145</v>
      </c>
      <c r="AG17" s="19" t="s">
        <v>145</v>
      </c>
      <c r="AH17" s="24"/>
      <c r="AI17" s="19" t="s">
        <v>146</v>
      </c>
      <c r="AJ17" s="19"/>
      <c r="AK17" s="19" t="s">
        <v>146</v>
      </c>
      <c r="AL17" s="19"/>
      <c r="AM17" s="19" t="s">
        <v>146</v>
      </c>
      <c r="AN17" s="13">
        <f t="shared" si="0"/>
        <v>23</v>
      </c>
      <c r="AO17" s="14">
        <f t="shared" si="1"/>
        <v>0</v>
      </c>
      <c r="AP17" s="15">
        <f t="shared" si="2"/>
        <v>0.71875</v>
      </c>
    </row>
    <row r="18" spans="1:42" ht="15" customHeight="1" x14ac:dyDescent="0.25">
      <c r="A18" s="9">
        <v>13</v>
      </c>
      <c r="B18" s="10" t="s">
        <v>95</v>
      </c>
      <c r="C18" s="10" t="s">
        <v>96</v>
      </c>
      <c r="D18" s="11" t="s">
        <v>97</v>
      </c>
      <c r="E18" s="11"/>
      <c r="F18" s="11"/>
      <c r="G18" s="11">
        <f>IFERROR(ROUND(_xlfn.XLOOKUP(B18&amp;" "&amp;C18,'Examen 1'!B$2:B$27,'Examen 1'!E$2:E$27,0)/100*5,1),0)</f>
        <v>4.7</v>
      </c>
      <c r="H18" s="19" t="s">
        <v>145</v>
      </c>
      <c r="I18" s="19" t="s">
        <v>145</v>
      </c>
      <c r="J18" s="19" t="s">
        <v>145</v>
      </c>
      <c r="K18" s="19" t="s">
        <v>145</v>
      </c>
      <c r="L18" s="19" t="s">
        <v>145</v>
      </c>
      <c r="M18" s="19" t="s">
        <v>145</v>
      </c>
      <c r="N18" s="19" t="s">
        <v>145</v>
      </c>
      <c r="O18" s="19" t="s">
        <v>145</v>
      </c>
      <c r="P18" s="19" t="s">
        <v>145</v>
      </c>
      <c r="Q18" s="19" t="s">
        <v>145</v>
      </c>
      <c r="R18" s="19" t="s">
        <v>145</v>
      </c>
      <c r="S18" s="19" t="s">
        <v>145</v>
      </c>
      <c r="T18" s="19" t="s">
        <v>145</v>
      </c>
      <c r="U18" s="19" t="s">
        <v>145</v>
      </c>
      <c r="V18" s="19" t="s">
        <v>145</v>
      </c>
      <c r="W18" s="19" t="s">
        <v>145</v>
      </c>
      <c r="X18" s="19" t="s">
        <v>145</v>
      </c>
      <c r="Y18" s="19" t="s">
        <v>146</v>
      </c>
      <c r="Z18" s="19" t="s">
        <v>146</v>
      </c>
      <c r="AA18" s="19" t="s">
        <v>146</v>
      </c>
      <c r="AB18" s="12" t="s">
        <v>145</v>
      </c>
      <c r="AC18" s="12" t="s">
        <v>145</v>
      </c>
      <c r="AD18" s="12" t="s">
        <v>145</v>
      </c>
      <c r="AE18" s="12" t="s">
        <v>145</v>
      </c>
      <c r="AF18" s="12" t="s">
        <v>145</v>
      </c>
      <c r="AG18" s="19" t="s">
        <v>145</v>
      </c>
      <c r="AH18" s="23"/>
      <c r="AI18" s="19" t="s">
        <v>146</v>
      </c>
      <c r="AJ18" s="12"/>
      <c r="AK18" s="19" t="s">
        <v>146</v>
      </c>
      <c r="AL18" s="12"/>
      <c r="AM18" s="19" t="s">
        <v>146</v>
      </c>
      <c r="AN18" s="13">
        <f t="shared" si="0"/>
        <v>23</v>
      </c>
      <c r="AO18" s="14">
        <f t="shared" si="1"/>
        <v>0</v>
      </c>
      <c r="AP18" s="15">
        <f t="shared" si="2"/>
        <v>0.71875</v>
      </c>
    </row>
    <row r="19" spans="1:42" ht="15" customHeight="1" x14ac:dyDescent="0.25">
      <c r="A19" s="16">
        <v>14</v>
      </c>
      <c r="B19" s="17" t="s">
        <v>98</v>
      </c>
      <c r="C19" s="17" t="s">
        <v>99</v>
      </c>
      <c r="D19" s="18" t="s">
        <v>100</v>
      </c>
      <c r="E19" s="18">
        <v>1</v>
      </c>
      <c r="F19" s="18"/>
      <c r="G19" s="11">
        <f>IFERROR(ROUND(_xlfn.XLOOKUP(B19&amp;" "&amp;C19,'Examen 1'!B$2:B$27,'Examen 1'!E$2:E$27,0)/100*5,1),0)</f>
        <v>4.9000000000000004</v>
      </c>
      <c r="H19" s="19" t="s">
        <v>145</v>
      </c>
      <c r="I19" s="19" t="s">
        <v>145</v>
      </c>
      <c r="J19" s="19" t="s">
        <v>145</v>
      </c>
      <c r="K19" s="19" t="s">
        <v>145</v>
      </c>
      <c r="L19" s="19" t="s">
        <v>145</v>
      </c>
      <c r="M19" s="19" t="s">
        <v>145</v>
      </c>
      <c r="N19" s="19" t="s">
        <v>145</v>
      </c>
      <c r="O19" s="19" t="s">
        <v>145</v>
      </c>
      <c r="P19" s="19" t="s">
        <v>145</v>
      </c>
      <c r="Q19" s="19" t="s">
        <v>145</v>
      </c>
      <c r="R19" s="19" t="s">
        <v>145</v>
      </c>
      <c r="S19" s="19" t="s">
        <v>145</v>
      </c>
      <c r="T19" s="19" t="s">
        <v>145</v>
      </c>
      <c r="U19" s="19" t="s">
        <v>145</v>
      </c>
      <c r="V19" s="19" t="s">
        <v>145</v>
      </c>
      <c r="W19" s="19" t="s">
        <v>145</v>
      </c>
      <c r="X19" s="19" t="s">
        <v>145</v>
      </c>
      <c r="Y19" s="19" t="s">
        <v>146</v>
      </c>
      <c r="Z19" s="19" t="s">
        <v>146</v>
      </c>
      <c r="AA19" s="19" t="s">
        <v>146</v>
      </c>
      <c r="AB19" s="12" t="s">
        <v>145</v>
      </c>
      <c r="AC19" s="19" t="s">
        <v>145</v>
      </c>
      <c r="AD19" s="12" t="s">
        <v>145</v>
      </c>
      <c r="AE19" s="12" t="s">
        <v>145</v>
      </c>
      <c r="AF19" s="12" t="s">
        <v>145</v>
      </c>
      <c r="AG19" s="19" t="s">
        <v>145</v>
      </c>
      <c r="AH19" s="24"/>
      <c r="AI19" s="19" t="s">
        <v>146</v>
      </c>
      <c r="AJ19" s="19"/>
      <c r="AK19" s="19" t="s">
        <v>146</v>
      </c>
      <c r="AL19" s="19"/>
      <c r="AM19" s="19" t="s">
        <v>146</v>
      </c>
      <c r="AN19" s="13">
        <f t="shared" si="0"/>
        <v>23</v>
      </c>
      <c r="AO19" s="14">
        <f t="shared" si="1"/>
        <v>0</v>
      </c>
      <c r="AP19" s="15">
        <f t="shared" si="2"/>
        <v>0.71875</v>
      </c>
    </row>
    <row r="20" spans="1:42" ht="15" customHeight="1" x14ac:dyDescent="0.25">
      <c r="A20" s="9">
        <v>15</v>
      </c>
      <c r="B20" s="10" t="s">
        <v>101</v>
      </c>
      <c r="C20" s="10" t="s">
        <v>102</v>
      </c>
      <c r="D20" s="11" t="s">
        <v>103</v>
      </c>
      <c r="E20" s="11"/>
      <c r="F20" s="11"/>
      <c r="G20" s="11">
        <f>IFERROR(ROUND(_xlfn.XLOOKUP(B20&amp;" "&amp;C20,'Examen 1'!B$2:B$27,'Examen 1'!E$2:E$27,0)/100*5,1),0)</f>
        <v>4.8</v>
      </c>
      <c r="H20" s="19" t="s">
        <v>145</v>
      </c>
      <c r="I20" s="19" t="s">
        <v>145</v>
      </c>
      <c r="J20" s="19" t="s">
        <v>145</v>
      </c>
      <c r="K20" s="19" t="s">
        <v>145</v>
      </c>
      <c r="L20" s="19" t="s">
        <v>145</v>
      </c>
      <c r="M20" s="19" t="s">
        <v>145</v>
      </c>
      <c r="N20" s="19" t="s">
        <v>145</v>
      </c>
      <c r="O20" s="19" t="s">
        <v>145</v>
      </c>
      <c r="P20" s="19" t="s">
        <v>145</v>
      </c>
      <c r="Q20" s="19" t="s">
        <v>145</v>
      </c>
      <c r="R20" s="19" t="s">
        <v>145</v>
      </c>
      <c r="S20" s="19" t="s">
        <v>145</v>
      </c>
      <c r="T20" s="19" t="s">
        <v>145</v>
      </c>
      <c r="U20" s="19" t="s">
        <v>145</v>
      </c>
      <c r="V20" s="19" t="s">
        <v>145</v>
      </c>
      <c r="W20" s="19" t="s">
        <v>145</v>
      </c>
      <c r="X20" s="19" t="s">
        <v>145</v>
      </c>
      <c r="Y20" s="19" t="s">
        <v>146</v>
      </c>
      <c r="Z20" s="19" t="s">
        <v>146</v>
      </c>
      <c r="AA20" s="19" t="s">
        <v>146</v>
      </c>
      <c r="AB20" s="12" t="s">
        <v>145</v>
      </c>
      <c r="AC20" s="12" t="s">
        <v>145</v>
      </c>
      <c r="AD20" s="12" t="s">
        <v>145</v>
      </c>
      <c r="AE20" s="12" t="s">
        <v>145</v>
      </c>
      <c r="AF20" s="12" t="s">
        <v>145</v>
      </c>
      <c r="AG20" s="19" t="s">
        <v>145</v>
      </c>
      <c r="AH20" s="23"/>
      <c r="AI20" s="19" t="s">
        <v>146</v>
      </c>
      <c r="AJ20" s="12"/>
      <c r="AK20" s="19" t="s">
        <v>146</v>
      </c>
      <c r="AL20" s="12"/>
      <c r="AM20" s="19" t="s">
        <v>146</v>
      </c>
      <c r="AN20" s="13">
        <f t="shared" si="0"/>
        <v>23</v>
      </c>
      <c r="AO20" s="14">
        <f t="shared" si="1"/>
        <v>0</v>
      </c>
      <c r="AP20" s="15">
        <f t="shared" si="2"/>
        <v>0.71875</v>
      </c>
    </row>
    <row r="21" spans="1:42" ht="15" customHeight="1" x14ac:dyDescent="0.25">
      <c r="A21" s="28">
        <v>16</v>
      </c>
      <c r="B21" s="29" t="s">
        <v>104</v>
      </c>
      <c r="C21" s="29" t="s">
        <v>105</v>
      </c>
      <c r="D21" s="30" t="s">
        <v>106</v>
      </c>
      <c r="E21" s="30"/>
      <c r="F21" s="30"/>
      <c r="G21" s="30">
        <f>IFERROR(ROUND(_xlfn.XLOOKUP(B21&amp;" "&amp;C21,'Examen 1'!B$2:B$27,'Examen 1'!E$2:E$27,0)/100*5,1),0)</f>
        <v>5</v>
      </c>
      <c r="H21" s="31" t="s">
        <v>145</v>
      </c>
      <c r="I21" s="31" t="s">
        <v>145</v>
      </c>
      <c r="J21" s="31" t="s">
        <v>145</v>
      </c>
      <c r="K21" s="31" t="s">
        <v>145</v>
      </c>
      <c r="L21" s="31" t="s">
        <v>145</v>
      </c>
      <c r="M21" s="31" t="s">
        <v>145</v>
      </c>
      <c r="N21" s="31" t="s">
        <v>145</v>
      </c>
      <c r="O21" s="31" t="s">
        <v>145</v>
      </c>
      <c r="P21" s="31" t="s">
        <v>145</v>
      </c>
      <c r="Q21" s="31" t="s">
        <v>145</v>
      </c>
      <c r="R21" s="31" t="s">
        <v>145</v>
      </c>
      <c r="S21" s="31" t="s">
        <v>145</v>
      </c>
      <c r="T21" s="31" t="s">
        <v>145</v>
      </c>
      <c r="U21" s="31" t="s">
        <v>145</v>
      </c>
      <c r="V21" s="31" t="s">
        <v>145</v>
      </c>
      <c r="W21" s="31" t="s">
        <v>145</v>
      </c>
      <c r="X21" s="31" t="s">
        <v>145</v>
      </c>
      <c r="Y21" s="31" t="s">
        <v>146</v>
      </c>
      <c r="Z21" s="31" t="s">
        <v>146</v>
      </c>
      <c r="AA21" s="31" t="s">
        <v>146</v>
      </c>
      <c r="AB21" s="31" t="s">
        <v>145</v>
      </c>
      <c r="AC21" s="31" t="s">
        <v>145</v>
      </c>
      <c r="AD21" s="31" t="s">
        <v>145</v>
      </c>
      <c r="AE21" s="31" t="s">
        <v>145</v>
      </c>
      <c r="AF21" s="12" t="s">
        <v>145</v>
      </c>
      <c r="AG21" s="19" t="s">
        <v>145</v>
      </c>
      <c r="AH21" s="33"/>
      <c r="AI21" s="19" t="s">
        <v>146</v>
      </c>
      <c r="AJ21" s="31"/>
      <c r="AK21" s="19" t="s">
        <v>146</v>
      </c>
      <c r="AL21" s="31"/>
      <c r="AM21" s="19" t="s">
        <v>146</v>
      </c>
      <c r="AN21" s="28">
        <f t="shared" si="0"/>
        <v>23</v>
      </c>
      <c r="AO21" s="28">
        <f t="shared" si="1"/>
        <v>0</v>
      </c>
      <c r="AP21" s="32">
        <f t="shared" si="2"/>
        <v>0.71875</v>
      </c>
    </row>
    <row r="22" spans="1:42" ht="15" customHeight="1" x14ac:dyDescent="0.25">
      <c r="A22" s="9">
        <v>17</v>
      </c>
      <c r="B22" s="10" t="s">
        <v>107</v>
      </c>
      <c r="C22" s="10" t="s">
        <v>108</v>
      </c>
      <c r="D22" s="11" t="s">
        <v>109</v>
      </c>
      <c r="E22" s="11"/>
      <c r="F22" s="11"/>
      <c r="G22" s="11">
        <f>IFERROR(ROUND(_xlfn.XLOOKUP(B22&amp;" "&amp;C22,'Examen 1'!B$2:B$27,'Examen 1'!E$2:E$27,0)/100*5,1),0)</f>
        <v>4.8</v>
      </c>
      <c r="H22" s="19" t="s">
        <v>145</v>
      </c>
      <c r="I22" s="19" t="s">
        <v>145</v>
      </c>
      <c r="J22" s="19" t="s">
        <v>145</v>
      </c>
      <c r="K22" s="19" t="s">
        <v>145</v>
      </c>
      <c r="L22" s="19" t="s">
        <v>145</v>
      </c>
      <c r="M22" s="19" t="s">
        <v>145</v>
      </c>
      <c r="N22" s="19" t="s">
        <v>145</v>
      </c>
      <c r="O22" s="19" t="s">
        <v>145</v>
      </c>
      <c r="P22" s="19" t="s">
        <v>145</v>
      </c>
      <c r="Q22" s="19" t="s">
        <v>145</v>
      </c>
      <c r="R22" s="19" t="s">
        <v>145</v>
      </c>
      <c r="S22" s="19" t="s">
        <v>145</v>
      </c>
      <c r="T22" s="19" t="s">
        <v>145</v>
      </c>
      <c r="U22" s="19" t="s">
        <v>145</v>
      </c>
      <c r="V22" s="19" t="s">
        <v>145</v>
      </c>
      <c r="W22" s="19" t="s">
        <v>145</v>
      </c>
      <c r="X22" s="19" t="s">
        <v>145</v>
      </c>
      <c r="Y22" s="19" t="s">
        <v>146</v>
      </c>
      <c r="Z22" s="19" t="s">
        <v>146</v>
      </c>
      <c r="AA22" s="19" t="s">
        <v>146</v>
      </c>
      <c r="AB22" s="12" t="s">
        <v>145</v>
      </c>
      <c r="AC22" s="12" t="s">
        <v>145</v>
      </c>
      <c r="AD22" s="12" t="s">
        <v>145</v>
      </c>
      <c r="AE22" s="12" t="s">
        <v>145</v>
      </c>
      <c r="AF22" s="12" t="s">
        <v>145</v>
      </c>
      <c r="AG22" s="19" t="s">
        <v>145</v>
      </c>
      <c r="AH22" s="23"/>
      <c r="AI22" s="19" t="s">
        <v>146</v>
      </c>
      <c r="AJ22" s="12"/>
      <c r="AK22" s="19" t="s">
        <v>146</v>
      </c>
      <c r="AL22" s="12"/>
      <c r="AM22" s="19" t="s">
        <v>146</v>
      </c>
      <c r="AN22" s="13">
        <f t="shared" si="0"/>
        <v>23</v>
      </c>
      <c r="AO22" s="14">
        <f t="shared" si="1"/>
        <v>0</v>
      </c>
      <c r="AP22" s="15">
        <f t="shared" si="2"/>
        <v>0.71875</v>
      </c>
    </row>
    <row r="23" spans="1:42" ht="15" customHeight="1" x14ac:dyDescent="0.25">
      <c r="A23" s="16">
        <v>18</v>
      </c>
      <c r="B23" s="17" t="s">
        <v>110</v>
      </c>
      <c r="C23" s="17" t="s">
        <v>111</v>
      </c>
      <c r="D23" s="18" t="s">
        <v>112</v>
      </c>
      <c r="E23" s="18"/>
      <c r="F23" s="18"/>
      <c r="G23" s="11">
        <f>IFERROR(ROUND(_xlfn.XLOOKUP(B23&amp;" "&amp;C23,'Examen 1'!B$2:B$27,'Examen 1'!E$2:E$27,0)/100*5,1),0)</f>
        <v>5</v>
      </c>
      <c r="H23" s="19" t="s">
        <v>145</v>
      </c>
      <c r="I23" s="19" t="s">
        <v>145</v>
      </c>
      <c r="J23" s="19" t="s">
        <v>145</v>
      </c>
      <c r="K23" s="19" t="s">
        <v>145</v>
      </c>
      <c r="L23" s="19" t="s">
        <v>145</v>
      </c>
      <c r="M23" s="19" t="s">
        <v>145</v>
      </c>
      <c r="N23" s="19" t="s">
        <v>145</v>
      </c>
      <c r="O23" s="19" t="s">
        <v>145</v>
      </c>
      <c r="P23" s="19" t="s">
        <v>145</v>
      </c>
      <c r="Q23" s="19" t="s">
        <v>145</v>
      </c>
      <c r="R23" s="19" t="s">
        <v>145</v>
      </c>
      <c r="S23" s="19" t="s">
        <v>145</v>
      </c>
      <c r="T23" s="19" t="s">
        <v>145</v>
      </c>
      <c r="U23" s="19" t="s">
        <v>145</v>
      </c>
      <c r="V23" s="19" t="s">
        <v>145</v>
      </c>
      <c r="W23" s="19" t="s">
        <v>145</v>
      </c>
      <c r="X23" s="19" t="s">
        <v>145</v>
      </c>
      <c r="Y23" s="19" t="s">
        <v>146</v>
      </c>
      <c r="Z23" s="19" t="s">
        <v>146</v>
      </c>
      <c r="AA23" s="19" t="s">
        <v>146</v>
      </c>
      <c r="AB23" s="12" t="s">
        <v>145</v>
      </c>
      <c r="AC23" s="19" t="s">
        <v>145</v>
      </c>
      <c r="AD23" s="12" t="s">
        <v>145</v>
      </c>
      <c r="AE23" s="12" t="s">
        <v>145</v>
      </c>
      <c r="AF23" s="12" t="s">
        <v>145</v>
      </c>
      <c r="AG23" s="19" t="s">
        <v>145</v>
      </c>
      <c r="AH23" s="24"/>
      <c r="AI23" s="19" t="s">
        <v>146</v>
      </c>
      <c r="AJ23" s="19"/>
      <c r="AK23" s="19" t="s">
        <v>146</v>
      </c>
      <c r="AL23" s="19"/>
      <c r="AM23" s="19" t="s">
        <v>146</v>
      </c>
      <c r="AN23" s="13">
        <f t="shared" si="0"/>
        <v>23</v>
      </c>
      <c r="AO23" s="14">
        <f t="shared" si="1"/>
        <v>0</v>
      </c>
      <c r="AP23" s="15">
        <f t="shared" si="2"/>
        <v>0.71875</v>
      </c>
    </row>
    <row r="24" spans="1:42" ht="15" customHeight="1" x14ac:dyDescent="0.25">
      <c r="A24" s="9">
        <v>19</v>
      </c>
      <c r="B24" s="10" t="s">
        <v>113</v>
      </c>
      <c r="C24" s="10" t="s">
        <v>114</v>
      </c>
      <c r="D24" s="11" t="s">
        <v>115</v>
      </c>
      <c r="E24" s="11"/>
      <c r="F24" s="11"/>
      <c r="G24" s="11">
        <f>IFERROR(ROUND(_xlfn.XLOOKUP(B24&amp;" "&amp;C24,'Examen 1'!B$2:B$27,'Examen 1'!E$2:E$27,0)/100*5,1),0)</f>
        <v>5</v>
      </c>
      <c r="H24" s="19" t="s">
        <v>145</v>
      </c>
      <c r="I24" s="19" t="s">
        <v>145</v>
      </c>
      <c r="J24" s="19" t="s">
        <v>145</v>
      </c>
      <c r="K24" s="19" t="s">
        <v>145</v>
      </c>
      <c r="L24" s="19" t="s">
        <v>145</v>
      </c>
      <c r="M24" s="19" t="s">
        <v>145</v>
      </c>
      <c r="N24" s="19" t="s">
        <v>145</v>
      </c>
      <c r="O24" s="19" t="s">
        <v>145</v>
      </c>
      <c r="P24" s="19" t="s">
        <v>145</v>
      </c>
      <c r="Q24" s="19" t="s">
        <v>145</v>
      </c>
      <c r="R24" s="19" t="s">
        <v>145</v>
      </c>
      <c r="S24" s="19" t="s">
        <v>145</v>
      </c>
      <c r="T24" s="19" t="s">
        <v>145</v>
      </c>
      <c r="U24" s="19" t="s">
        <v>145</v>
      </c>
      <c r="V24" s="19" t="s">
        <v>145</v>
      </c>
      <c r="W24" s="19" t="s">
        <v>145</v>
      </c>
      <c r="X24" s="19" t="s">
        <v>145</v>
      </c>
      <c r="Y24" s="19" t="s">
        <v>146</v>
      </c>
      <c r="Z24" s="19" t="s">
        <v>146</v>
      </c>
      <c r="AA24" s="19" t="s">
        <v>146</v>
      </c>
      <c r="AB24" s="12" t="s">
        <v>145</v>
      </c>
      <c r="AC24" s="12" t="s">
        <v>145</v>
      </c>
      <c r="AD24" s="12" t="s">
        <v>145</v>
      </c>
      <c r="AE24" s="12" t="s">
        <v>145</v>
      </c>
      <c r="AF24" s="12" t="s">
        <v>145</v>
      </c>
      <c r="AG24" s="19" t="s">
        <v>145</v>
      </c>
      <c r="AH24" s="23"/>
      <c r="AI24" s="19" t="s">
        <v>146</v>
      </c>
      <c r="AJ24" s="12"/>
      <c r="AK24" s="19" t="s">
        <v>146</v>
      </c>
      <c r="AL24" s="12"/>
      <c r="AM24" s="19" t="s">
        <v>146</v>
      </c>
      <c r="AN24" s="13">
        <f t="shared" si="0"/>
        <v>23</v>
      </c>
      <c r="AO24" s="14">
        <f t="shared" si="1"/>
        <v>0</v>
      </c>
      <c r="AP24" s="15">
        <f t="shared" si="2"/>
        <v>0.71875</v>
      </c>
    </row>
    <row r="25" spans="1:42" ht="15" customHeight="1" x14ac:dyDescent="0.25">
      <c r="A25" s="16">
        <v>20</v>
      </c>
      <c r="B25" s="17" t="s">
        <v>116</v>
      </c>
      <c r="C25" s="17" t="s">
        <v>117</v>
      </c>
      <c r="D25" s="18" t="s">
        <v>118</v>
      </c>
      <c r="E25" s="18"/>
      <c r="F25" s="18"/>
      <c r="G25" s="11">
        <f>IFERROR(ROUND(_xlfn.XLOOKUP(B25&amp;" "&amp;C25,'Examen 1'!B$2:B$27,'Examen 1'!E$2:E$27,0)/100*5,1),0)</f>
        <v>5</v>
      </c>
      <c r="H25" s="19" t="s">
        <v>145</v>
      </c>
      <c r="I25" s="19" t="s">
        <v>145</v>
      </c>
      <c r="J25" s="19" t="s">
        <v>145</v>
      </c>
      <c r="K25" s="19" t="s">
        <v>145</v>
      </c>
      <c r="L25" s="19" t="s">
        <v>145</v>
      </c>
      <c r="M25" s="19" t="s">
        <v>145</v>
      </c>
      <c r="N25" s="19" t="s">
        <v>145</v>
      </c>
      <c r="O25" s="19" t="s">
        <v>145</v>
      </c>
      <c r="P25" s="19" t="s">
        <v>145</v>
      </c>
      <c r="Q25" s="19" t="s">
        <v>145</v>
      </c>
      <c r="R25" s="19" t="s">
        <v>145</v>
      </c>
      <c r="S25" s="19" t="s">
        <v>145</v>
      </c>
      <c r="T25" s="19" t="s">
        <v>145</v>
      </c>
      <c r="U25" s="19" t="s">
        <v>145</v>
      </c>
      <c r="V25" s="19" t="s">
        <v>145</v>
      </c>
      <c r="W25" s="19" t="s">
        <v>145</v>
      </c>
      <c r="X25" s="19" t="s">
        <v>145</v>
      </c>
      <c r="Y25" s="19" t="s">
        <v>146</v>
      </c>
      <c r="Z25" s="19" t="s">
        <v>146</v>
      </c>
      <c r="AA25" s="19" t="s">
        <v>146</v>
      </c>
      <c r="AB25" s="12" t="s">
        <v>145</v>
      </c>
      <c r="AC25" s="19" t="s">
        <v>145</v>
      </c>
      <c r="AD25" s="12" t="s">
        <v>145</v>
      </c>
      <c r="AE25" s="12" t="s">
        <v>145</v>
      </c>
      <c r="AF25" s="12" t="s">
        <v>145</v>
      </c>
      <c r="AG25" s="19" t="s">
        <v>145</v>
      </c>
      <c r="AH25" s="24"/>
      <c r="AI25" s="19" t="s">
        <v>146</v>
      </c>
      <c r="AJ25" s="19"/>
      <c r="AK25" s="19" t="s">
        <v>146</v>
      </c>
      <c r="AL25" s="19"/>
      <c r="AM25" s="19" t="s">
        <v>146</v>
      </c>
      <c r="AN25" s="13">
        <f t="shared" si="0"/>
        <v>23</v>
      </c>
      <c r="AO25" s="14">
        <f t="shared" si="1"/>
        <v>0</v>
      </c>
      <c r="AP25" s="15">
        <f t="shared" si="2"/>
        <v>0.71875</v>
      </c>
    </row>
    <row r="26" spans="1:42" ht="15" customHeight="1" x14ac:dyDescent="0.25">
      <c r="A26" s="9">
        <v>21</v>
      </c>
      <c r="B26" s="10" t="s">
        <v>119</v>
      </c>
      <c r="C26" s="10" t="s">
        <v>120</v>
      </c>
      <c r="D26" s="11" t="s">
        <v>121</v>
      </c>
      <c r="E26" s="11"/>
      <c r="F26" s="11"/>
      <c r="G26" s="11">
        <f>IFERROR(ROUND(_xlfn.XLOOKUP(B26&amp;" "&amp;C26,'Examen 1'!B$2:B$27,'Examen 1'!E$2:E$27,0)/100*5,1),0)</f>
        <v>5</v>
      </c>
      <c r="H26" s="19" t="s">
        <v>145</v>
      </c>
      <c r="I26" s="19" t="s">
        <v>145</v>
      </c>
      <c r="J26" s="19" t="s">
        <v>145</v>
      </c>
      <c r="K26" s="19" t="s">
        <v>145</v>
      </c>
      <c r="L26" s="19" t="s">
        <v>145</v>
      </c>
      <c r="M26" s="19" t="s">
        <v>145</v>
      </c>
      <c r="N26" s="19" t="s">
        <v>145</v>
      </c>
      <c r="O26" s="19" t="s">
        <v>145</v>
      </c>
      <c r="P26" s="19" t="s">
        <v>145</v>
      </c>
      <c r="Q26" s="19" t="s">
        <v>145</v>
      </c>
      <c r="R26" s="19" t="s">
        <v>145</v>
      </c>
      <c r="S26" s="19" t="s">
        <v>145</v>
      </c>
      <c r="T26" s="19" t="s">
        <v>145</v>
      </c>
      <c r="U26" s="19" t="s">
        <v>145</v>
      </c>
      <c r="V26" s="19" t="s">
        <v>145</v>
      </c>
      <c r="W26" s="19" t="s">
        <v>145</v>
      </c>
      <c r="X26" s="19" t="s">
        <v>145</v>
      </c>
      <c r="Y26" s="19" t="s">
        <v>146</v>
      </c>
      <c r="Z26" s="19" t="s">
        <v>146</v>
      </c>
      <c r="AA26" s="19" t="s">
        <v>146</v>
      </c>
      <c r="AB26" s="12" t="s">
        <v>145</v>
      </c>
      <c r="AC26" s="12" t="s">
        <v>145</v>
      </c>
      <c r="AD26" s="12" t="s">
        <v>145</v>
      </c>
      <c r="AE26" s="12" t="s">
        <v>145</v>
      </c>
      <c r="AF26" s="12" t="s">
        <v>145</v>
      </c>
      <c r="AG26" s="19" t="s">
        <v>145</v>
      </c>
      <c r="AH26" s="23"/>
      <c r="AI26" s="19" t="s">
        <v>146</v>
      </c>
      <c r="AJ26" s="12"/>
      <c r="AK26" s="19" t="s">
        <v>146</v>
      </c>
      <c r="AL26" s="12"/>
      <c r="AM26" s="19" t="s">
        <v>146</v>
      </c>
      <c r="AN26" s="13">
        <f t="shared" si="0"/>
        <v>23</v>
      </c>
      <c r="AO26" s="14">
        <f t="shared" si="1"/>
        <v>0</v>
      </c>
      <c r="AP26" s="15">
        <f t="shared" si="2"/>
        <v>0.71875</v>
      </c>
    </row>
    <row r="27" spans="1:42" ht="15" customHeight="1" x14ac:dyDescent="0.25">
      <c r="A27" s="16">
        <v>22</v>
      </c>
      <c r="B27" s="17" t="s">
        <v>122</v>
      </c>
      <c r="C27" s="17" t="s">
        <v>123</v>
      </c>
      <c r="D27" s="18" t="s">
        <v>124</v>
      </c>
      <c r="E27" s="18">
        <v>2</v>
      </c>
      <c r="F27" s="18"/>
      <c r="G27" s="11">
        <f>IFERROR(ROUND(_xlfn.XLOOKUP(B27&amp;" "&amp;C27,'Examen 1'!B$2:B$27,'Examen 1'!E$2:E$27,0)/100*5,1),0)</f>
        <v>3.1</v>
      </c>
      <c r="H27" s="19" t="s">
        <v>145</v>
      </c>
      <c r="I27" s="19" t="s">
        <v>145</v>
      </c>
      <c r="J27" s="19" t="s">
        <v>145</v>
      </c>
      <c r="K27" s="19" t="s">
        <v>145</v>
      </c>
      <c r="L27" s="19" t="s">
        <v>145</v>
      </c>
      <c r="M27" s="19" t="s">
        <v>145</v>
      </c>
      <c r="N27" s="19" t="s">
        <v>145</v>
      </c>
      <c r="O27" s="19" t="s">
        <v>145</v>
      </c>
      <c r="P27" s="19" t="s">
        <v>145</v>
      </c>
      <c r="Q27" s="19" t="s">
        <v>145</v>
      </c>
      <c r="R27" s="19" t="s">
        <v>145</v>
      </c>
      <c r="S27" s="19" t="s">
        <v>145</v>
      </c>
      <c r="T27" s="19" t="s">
        <v>145</v>
      </c>
      <c r="U27" s="19" t="s">
        <v>145</v>
      </c>
      <c r="V27" s="19" t="s">
        <v>145</v>
      </c>
      <c r="W27" s="19" t="s">
        <v>145</v>
      </c>
      <c r="X27" s="19" t="s">
        <v>145</v>
      </c>
      <c r="Y27" s="19" t="s">
        <v>146</v>
      </c>
      <c r="Z27" s="19" t="s">
        <v>146</v>
      </c>
      <c r="AA27" s="19" t="s">
        <v>146</v>
      </c>
      <c r="AB27" s="12" t="s">
        <v>145</v>
      </c>
      <c r="AC27" s="19" t="s">
        <v>145</v>
      </c>
      <c r="AD27" s="12" t="s">
        <v>145</v>
      </c>
      <c r="AE27" s="12" t="s">
        <v>145</v>
      </c>
      <c r="AF27" s="12" t="s">
        <v>145</v>
      </c>
      <c r="AG27" s="19" t="s">
        <v>145</v>
      </c>
      <c r="AH27" s="24"/>
      <c r="AI27" s="19" t="s">
        <v>146</v>
      </c>
      <c r="AJ27" s="19"/>
      <c r="AK27" s="19" t="s">
        <v>146</v>
      </c>
      <c r="AL27" s="19"/>
      <c r="AM27" s="19" t="s">
        <v>146</v>
      </c>
      <c r="AN27" s="13">
        <f t="shared" si="0"/>
        <v>23</v>
      </c>
      <c r="AO27" s="14">
        <f t="shared" si="1"/>
        <v>0</v>
      </c>
      <c r="AP27" s="15">
        <f t="shared" si="2"/>
        <v>0.71875</v>
      </c>
    </row>
    <row r="28" spans="1:42" ht="15" customHeight="1" x14ac:dyDescent="0.25">
      <c r="A28" s="9">
        <v>23</v>
      </c>
      <c r="B28" s="10" t="s">
        <v>125</v>
      </c>
      <c r="C28" s="10" t="s">
        <v>126</v>
      </c>
      <c r="D28" s="11" t="s">
        <v>127</v>
      </c>
      <c r="E28" s="11"/>
      <c r="F28" s="11"/>
      <c r="G28" s="11">
        <f>IFERROR(ROUND(_xlfn.XLOOKUP(B28&amp;" "&amp;C28,'Examen 1'!B$2:B$27,'Examen 1'!E$2:E$27,0)/100*5,1),0)</f>
        <v>5</v>
      </c>
      <c r="H28" s="19" t="s">
        <v>145</v>
      </c>
      <c r="I28" s="19" t="s">
        <v>145</v>
      </c>
      <c r="J28" s="19" t="s">
        <v>145</v>
      </c>
      <c r="K28" s="19" t="s">
        <v>145</v>
      </c>
      <c r="L28" s="19" t="s">
        <v>145</v>
      </c>
      <c r="M28" s="19" t="s">
        <v>145</v>
      </c>
      <c r="N28" s="19" t="s">
        <v>145</v>
      </c>
      <c r="O28" s="19" t="s">
        <v>145</v>
      </c>
      <c r="P28" s="19" t="s">
        <v>145</v>
      </c>
      <c r="Q28" s="19" t="s">
        <v>145</v>
      </c>
      <c r="R28" s="19" t="s">
        <v>145</v>
      </c>
      <c r="S28" s="19" t="s">
        <v>145</v>
      </c>
      <c r="T28" s="19" t="s">
        <v>145</v>
      </c>
      <c r="U28" s="19" t="s">
        <v>145</v>
      </c>
      <c r="V28" s="19" t="s">
        <v>145</v>
      </c>
      <c r="W28" s="19" t="s">
        <v>145</v>
      </c>
      <c r="X28" s="19" t="s">
        <v>145</v>
      </c>
      <c r="Y28" s="19" t="s">
        <v>146</v>
      </c>
      <c r="Z28" s="19" t="s">
        <v>146</v>
      </c>
      <c r="AA28" s="19" t="s">
        <v>146</v>
      </c>
      <c r="AB28" s="12" t="s">
        <v>145</v>
      </c>
      <c r="AC28" s="12" t="s">
        <v>145</v>
      </c>
      <c r="AD28" s="12" t="s">
        <v>145</v>
      </c>
      <c r="AE28" s="12" t="s">
        <v>145</v>
      </c>
      <c r="AF28" s="12" t="s">
        <v>145</v>
      </c>
      <c r="AG28" s="19" t="s">
        <v>145</v>
      </c>
      <c r="AH28" s="23"/>
      <c r="AI28" s="19" t="s">
        <v>146</v>
      </c>
      <c r="AJ28" s="12"/>
      <c r="AK28" s="19" t="s">
        <v>146</v>
      </c>
      <c r="AL28" s="12"/>
      <c r="AM28" s="19" t="s">
        <v>146</v>
      </c>
      <c r="AN28" s="13">
        <f t="shared" si="0"/>
        <v>23</v>
      </c>
      <c r="AO28" s="14">
        <f t="shared" si="1"/>
        <v>0</v>
      </c>
      <c r="AP28" s="15">
        <f t="shared" si="2"/>
        <v>0.71875</v>
      </c>
    </row>
    <row r="29" spans="1:42" ht="15" customHeight="1" x14ac:dyDescent="0.25">
      <c r="A29" s="16">
        <v>24</v>
      </c>
      <c r="B29" s="17" t="s">
        <v>128</v>
      </c>
      <c r="C29" s="17" t="s">
        <v>129</v>
      </c>
      <c r="D29" s="18" t="s">
        <v>130</v>
      </c>
      <c r="E29" s="18">
        <v>1.5</v>
      </c>
      <c r="F29" s="18"/>
      <c r="G29" s="11">
        <f>IFERROR(ROUND(_xlfn.XLOOKUP(B29&amp;" "&amp;C29,'Examen 1'!B$2:B$27,'Examen 1'!E$2:E$27,0)/100*5,1),0)</f>
        <v>3.2</v>
      </c>
      <c r="H29" s="19" t="s">
        <v>145</v>
      </c>
      <c r="I29" s="19" t="s">
        <v>145</v>
      </c>
      <c r="J29" s="19" t="s">
        <v>145</v>
      </c>
      <c r="K29" s="19" t="s">
        <v>145</v>
      </c>
      <c r="L29" s="19" t="s">
        <v>145</v>
      </c>
      <c r="M29" s="19" t="s">
        <v>145</v>
      </c>
      <c r="N29" s="19" t="s">
        <v>145</v>
      </c>
      <c r="O29" s="19" t="s">
        <v>145</v>
      </c>
      <c r="P29" s="19" t="s">
        <v>145</v>
      </c>
      <c r="Q29" s="19" t="s">
        <v>145</v>
      </c>
      <c r="R29" s="19" t="s">
        <v>145</v>
      </c>
      <c r="S29" s="19" t="s">
        <v>145</v>
      </c>
      <c r="T29" s="19" t="s">
        <v>145</v>
      </c>
      <c r="U29" s="19" t="s">
        <v>145</v>
      </c>
      <c r="V29" s="19" t="s">
        <v>145</v>
      </c>
      <c r="W29" s="19" t="s">
        <v>145</v>
      </c>
      <c r="X29" s="19" t="s">
        <v>145</v>
      </c>
      <c r="Y29" s="19" t="s">
        <v>146</v>
      </c>
      <c r="Z29" s="19" t="s">
        <v>146</v>
      </c>
      <c r="AA29" s="19" t="s">
        <v>146</v>
      </c>
      <c r="AB29" s="12" t="s">
        <v>145</v>
      </c>
      <c r="AC29" s="19" t="s">
        <v>145</v>
      </c>
      <c r="AD29" s="12" t="s">
        <v>145</v>
      </c>
      <c r="AE29" s="12" t="s">
        <v>145</v>
      </c>
      <c r="AF29" s="12" t="s">
        <v>145</v>
      </c>
      <c r="AG29" s="19" t="s">
        <v>145</v>
      </c>
      <c r="AH29" s="24"/>
      <c r="AI29" s="19" t="s">
        <v>146</v>
      </c>
      <c r="AJ29" s="19"/>
      <c r="AK29" s="19" t="s">
        <v>146</v>
      </c>
      <c r="AL29" s="19"/>
      <c r="AM29" s="19" t="s">
        <v>146</v>
      </c>
      <c r="AN29" s="13">
        <f t="shared" si="0"/>
        <v>23</v>
      </c>
      <c r="AO29" s="14">
        <f t="shared" si="1"/>
        <v>0</v>
      </c>
      <c r="AP29" s="15">
        <f t="shared" si="2"/>
        <v>0.71875</v>
      </c>
    </row>
    <row r="30" spans="1:42" ht="15" customHeight="1" x14ac:dyDescent="0.25">
      <c r="A30" s="9">
        <v>25</v>
      </c>
      <c r="B30" s="10" t="s">
        <v>131</v>
      </c>
      <c r="C30" s="10" t="s">
        <v>132</v>
      </c>
      <c r="D30" s="11" t="s">
        <v>133</v>
      </c>
      <c r="E30" s="11">
        <v>1</v>
      </c>
      <c r="F30" s="11"/>
      <c r="G30" s="11">
        <f>IFERROR(ROUND(_xlfn.XLOOKUP(B30&amp;" "&amp;C30,'Examen 1'!B$2:B$27,'Examen 1'!E$2:E$27,0)/100*5,1),0)</f>
        <v>4.5</v>
      </c>
      <c r="H30" s="19" t="s">
        <v>145</v>
      </c>
      <c r="I30" s="19" t="s">
        <v>145</v>
      </c>
      <c r="J30" s="19" t="s">
        <v>145</v>
      </c>
      <c r="K30" s="19" t="s">
        <v>145</v>
      </c>
      <c r="L30" s="19" t="s">
        <v>145</v>
      </c>
      <c r="M30" s="19" t="s">
        <v>145</v>
      </c>
      <c r="N30" s="19" t="s">
        <v>145</v>
      </c>
      <c r="O30" s="19" t="s">
        <v>145</v>
      </c>
      <c r="P30" s="19" t="s">
        <v>145</v>
      </c>
      <c r="Q30" s="19" t="s">
        <v>145</v>
      </c>
      <c r="R30" s="19" t="s">
        <v>145</v>
      </c>
      <c r="S30" s="19" t="s">
        <v>145</v>
      </c>
      <c r="T30" s="19" t="s">
        <v>145</v>
      </c>
      <c r="U30" s="19" t="s">
        <v>145</v>
      </c>
      <c r="V30" s="19" t="s">
        <v>145</v>
      </c>
      <c r="W30" s="19" t="s">
        <v>145</v>
      </c>
      <c r="X30" s="19" t="s">
        <v>145</v>
      </c>
      <c r="Y30" s="19" t="s">
        <v>146</v>
      </c>
      <c r="Z30" s="19" t="s">
        <v>146</v>
      </c>
      <c r="AA30" s="19" t="s">
        <v>146</v>
      </c>
      <c r="AB30" s="12" t="s">
        <v>145</v>
      </c>
      <c r="AC30" s="12" t="s">
        <v>145</v>
      </c>
      <c r="AD30" s="12" t="s">
        <v>145</v>
      </c>
      <c r="AE30" s="12" t="s">
        <v>145</v>
      </c>
      <c r="AF30" s="12" t="s">
        <v>145</v>
      </c>
      <c r="AG30" s="19" t="s">
        <v>145</v>
      </c>
      <c r="AH30" s="23"/>
      <c r="AI30" s="19" t="s">
        <v>146</v>
      </c>
      <c r="AJ30" s="12"/>
      <c r="AK30" s="19" t="s">
        <v>146</v>
      </c>
      <c r="AL30" s="12"/>
      <c r="AM30" s="19" t="s">
        <v>146</v>
      </c>
      <c r="AN30" s="13">
        <f t="shared" si="0"/>
        <v>23</v>
      </c>
      <c r="AO30" s="14">
        <f t="shared" si="1"/>
        <v>0</v>
      </c>
      <c r="AP30" s="15">
        <f t="shared" si="2"/>
        <v>0.71875</v>
      </c>
    </row>
    <row r="31" spans="1:42" ht="15" customHeight="1" x14ac:dyDescent="0.25">
      <c r="A31" s="16">
        <v>26</v>
      </c>
      <c r="B31" s="17" t="s">
        <v>134</v>
      </c>
      <c r="C31" s="17" t="s">
        <v>135</v>
      </c>
      <c r="D31" s="18" t="s">
        <v>136</v>
      </c>
      <c r="E31" s="18">
        <v>2</v>
      </c>
      <c r="F31" s="18">
        <v>5</v>
      </c>
      <c r="G31" s="11">
        <f>IFERROR(ROUND(_xlfn.XLOOKUP(B31&amp;" "&amp;C31,'Examen 1'!B$2:B$27,'Examen 1'!E$2:E$27,0)/100*5,1),0)</f>
        <v>3.9</v>
      </c>
      <c r="H31" s="19" t="s">
        <v>145</v>
      </c>
      <c r="I31" s="19" t="s">
        <v>145</v>
      </c>
      <c r="J31" s="19" t="s">
        <v>145</v>
      </c>
      <c r="K31" s="19" t="s">
        <v>145</v>
      </c>
      <c r="L31" s="19" t="s">
        <v>145</v>
      </c>
      <c r="M31" s="19" t="s">
        <v>145</v>
      </c>
      <c r="N31" s="19" t="s">
        <v>145</v>
      </c>
      <c r="O31" s="19" t="s">
        <v>145</v>
      </c>
      <c r="P31" s="19" t="s">
        <v>145</v>
      </c>
      <c r="Q31" s="19" t="s">
        <v>145</v>
      </c>
      <c r="R31" s="19" t="s">
        <v>145</v>
      </c>
      <c r="S31" s="19" t="s">
        <v>145</v>
      </c>
      <c r="T31" s="19" t="s">
        <v>145</v>
      </c>
      <c r="U31" s="19" t="s">
        <v>145</v>
      </c>
      <c r="V31" s="19" t="s">
        <v>145</v>
      </c>
      <c r="W31" s="19" t="s">
        <v>145</v>
      </c>
      <c r="X31" s="19" t="s">
        <v>145</v>
      </c>
      <c r="Y31" s="19" t="s">
        <v>146</v>
      </c>
      <c r="Z31" s="19" t="s">
        <v>146</v>
      </c>
      <c r="AA31" s="19" t="s">
        <v>146</v>
      </c>
      <c r="AB31" s="12" t="s">
        <v>145</v>
      </c>
      <c r="AC31" s="19" t="s">
        <v>145</v>
      </c>
      <c r="AD31" s="12" t="s">
        <v>145</v>
      </c>
      <c r="AE31" s="12" t="s">
        <v>145</v>
      </c>
      <c r="AF31" s="12" t="s">
        <v>145</v>
      </c>
      <c r="AG31" s="19" t="s">
        <v>145</v>
      </c>
      <c r="AH31" s="24"/>
      <c r="AI31" s="19" t="s">
        <v>146</v>
      </c>
      <c r="AJ31" s="19"/>
      <c r="AK31" s="19" t="s">
        <v>146</v>
      </c>
      <c r="AL31" s="19"/>
      <c r="AM31" s="19" t="s">
        <v>146</v>
      </c>
      <c r="AN31" s="13">
        <f t="shared" si="0"/>
        <v>23</v>
      </c>
      <c r="AO31" s="14">
        <f t="shared" si="1"/>
        <v>0</v>
      </c>
      <c r="AP31" s="15">
        <f t="shared" si="2"/>
        <v>0.71875</v>
      </c>
    </row>
    <row r="32" spans="1:42" ht="15" customHeight="1" x14ac:dyDescent="0.25">
      <c r="A32" s="9">
        <v>27</v>
      </c>
      <c r="B32" s="10" t="s">
        <v>137</v>
      </c>
      <c r="C32" s="10" t="s">
        <v>138</v>
      </c>
      <c r="D32" s="11" t="s">
        <v>139</v>
      </c>
      <c r="E32" s="11">
        <v>1</v>
      </c>
      <c r="F32" s="11"/>
      <c r="G32" s="11">
        <f>IFERROR(ROUND(_xlfn.XLOOKUP(B32&amp;" "&amp;C32,'Examen 1'!B$2:B$27,'Examen 1'!E$2:E$27,0)/100*5,1),0)</f>
        <v>5</v>
      </c>
      <c r="H32" s="19" t="s">
        <v>145</v>
      </c>
      <c r="I32" s="19" t="s">
        <v>145</v>
      </c>
      <c r="J32" s="19" t="s">
        <v>145</v>
      </c>
      <c r="K32" s="19" t="s">
        <v>145</v>
      </c>
      <c r="L32" s="19" t="s">
        <v>145</v>
      </c>
      <c r="M32" s="19" t="s">
        <v>145</v>
      </c>
      <c r="N32" s="19" t="s">
        <v>145</v>
      </c>
      <c r="O32" s="19" t="s">
        <v>145</v>
      </c>
      <c r="P32" s="19" t="s">
        <v>145</v>
      </c>
      <c r="Q32" s="19" t="s">
        <v>145</v>
      </c>
      <c r="R32" s="19" t="s">
        <v>145</v>
      </c>
      <c r="S32" s="19" t="s">
        <v>145</v>
      </c>
      <c r="T32" s="19" t="s">
        <v>145</v>
      </c>
      <c r="U32" s="19" t="s">
        <v>145</v>
      </c>
      <c r="V32" s="19" t="s">
        <v>145</v>
      </c>
      <c r="W32" s="19" t="s">
        <v>145</v>
      </c>
      <c r="X32" s="19" t="s">
        <v>145</v>
      </c>
      <c r="Y32" s="19" t="s">
        <v>146</v>
      </c>
      <c r="Z32" s="19" t="s">
        <v>146</v>
      </c>
      <c r="AA32" s="19" t="s">
        <v>146</v>
      </c>
      <c r="AB32" s="12" t="s">
        <v>145</v>
      </c>
      <c r="AC32" s="12" t="s">
        <v>145</v>
      </c>
      <c r="AD32" s="12" t="s">
        <v>145</v>
      </c>
      <c r="AE32" s="12" t="s">
        <v>145</v>
      </c>
      <c r="AF32" s="12" t="s">
        <v>145</v>
      </c>
      <c r="AG32" s="19" t="s">
        <v>145</v>
      </c>
      <c r="AH32" s="23"/>
      <c r="AI32" s="19" t="s">
        <v>146</v>
      </c>
      <c r="AJ32" s="12"/>
      <c r="AK32" s="19" t="s">
        <v>146</v>
      </c>
      <c r="AL32" s="12"/>
      <c r="AM32" s="19" t="s">
        <v>146</v>
      </c>
      <c r="AN32" s="13">
        <f t="shared" si="0"/>
        <v>23</v>
      </c>
      <c r="AO32" s="14">
        <f t="shared" si="1"/>
        <v>0</v>
      </c>
      <c r="AP32" s="15">
        <f t="shared" si="2"/>
        <v>0.71875</v>
      </c>
    </row>
    <row r="33" spans="1:42" ht="15.75" customHeight="1" x14ac:dyDescent="0.25">
      <c r="A33" s="46" t="s">
        <v>140</v>
      </c>
      <c r="B33" s="46"/>
      <c r="C33" s="46"/>
      <c r="D33" s="46"/>
      <c r="E33" s="1"/>
      <c r="F33" s="1"/>
      <c r="G33" s="1"/>
      <c r="H33" s="20">
        <f t="shared" ref="H33:AM33" si="3">COUNTIF(H6:H32,"A")</f>
        <v>27</v>
      </c>
      <c r="I33" s="20">
        <f t="shared" si="3"/>
        <v>27</v>
      </c>
      <c r="J33" s="20">
        <f t="shared" si="3"/>
        <v>27</v>
      </c>
      <c r="K33" s="20">
        <f t="shared" si="3"/>
        <v>27</v>
      </c>
      <c r="L33" s="20">
        <f t="shared" si="3"/>
        <v>27</v>
      </c>
      <c r="M33" s="20">
        <f t="shared" si="3"/>
        <v>27</v>
      </c>
      <c r="N33" s="20">
        <f t="shared" si="3"/>
        <v>27</v>
      </c>
      <c r="O33" s="20">
        <f t="shared" si="3"/>
        <v>27</v>
      </c>
      <c r="P33" s="20">
        <f t="shared" si="3"/>
        <v>27</v>
      </c>
      <c r="Q33" s="20">
        <f t="shared" si="3"/>
        <v>27</v>
      </c>
      <c r="R33" s="20">
        <f t="shared" si="3"/>
        <v>27</v>
      </c>
      <c r="S33" s="20">
        <f t="shared" si="3"/>
        <v>27</v>
      </c>
      <c r="T33" s="20">
        <f t="shared" si="3"/>
        <v>27</v>
      </c>
      <c r="U33" s="20">
        <f t="shared" si="3"/>
        <v>27</v>
      </c>
      <c r="V33" s="20">
        <f t="shared" si="3"/>
        <v>27</v>
      </c>
      <c r="W33" s="20">
        <f t="shared" si="3"/>
        <v>27</v>
      </c>
      <c r="X33" s="20">
        <f t="shared" si="3"/>
        <v>27</v>
      </c>
      <c r="Y33" s="20">
        <f t="shared" si="3"/>
        <v>0</v>
      </c>
      <c r="Z33" s="20">
        <f t="shared" si="3"/>
        <v>0</v>
      </c>
      <c r="AA33" s="20">
        <f t="shared" si="3"/>
        <v>0</v>
      </c>
      <c r="AB33" s="20">
        <f t="shared" si="3"/>
        <v>27</v>
      </c>
      <c r="AC33" s="20">
        <f t="shared" si="3"/>
        <v>27</v>
      </c>
      <c r="AD33" s="20">
        <f t="shared" si="3"/>
        <v>27</v>
      </c>
      <c r="AE33" s="20">
        <f t="shared" si="3"/>
        <v>27</v>
      </c>
      <c r="AF33" s="20">
        <f t="shared" si="3"/>
        <v>27</v>
      </c>
      <c r="AG33" s="20">
        <f t="shared" si="3"/>
        <v>27</v>
      </c>
      <c r="AH33" s="25">
        <f t="shared" si="3"/>
        <v>0</v>
      </c>
      <c r="AI33" s="20">
        <f t="shared" si="3"/>
        <v>0</v>
      </c>
      <c r="AJ33" s="20">
        <f t="shared" si="3"/>
        <v>0</v>
      </c>
      <c r="AK33" s="20">
        <f t="shared" si="3"/>
        <v>0</v>
      </c>
      <c r="AL33" s="20">
        <f t="shared" si="3"/>
        <v>0</v>
      </c>
      <c r="AM33" s="20">
        <f t="shared" si="3"/>
        <v>0</v>
      </c>
      <c r="AN33" s="5"/>
      <c r="AO33" s="5"/>
      <c r="AP33" s="5"/>
    </row>
    <row r="34" spans="1:42" ht="15.75" customHeight="1" x14ac:dyDescent="0.25">
      <c r="A34" s="47" t="s">
        <v>141</v>
      </c>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row>
    <row r="35" spans="1:42" x14ac:dyDescent="0.25">
      <c r="AH35" s="26" t="s">
        <v>147</v>
      </c>
    </row>
  </sheetData>
  <mergeCells count="20">
    <mergeCell ref="AD3:AE3"/>
    <mergeCell ref="AF3:AG3"/>
    <mergeCell ref="AH3:AI3"/>
    <mergeCell ref="AJ3:AK3"/>
    <mergeCell ref="AL3:AM3"/>
    <mergeCell ref="A33:D33"/>
    <mergeCell ref="A34:AP34"/>
    <mergeCell ref="A1:AP1"/>
    <mergeCell ref="A2:AP2"/>
    <mergeCell ref="H3:I3"/>
    <mergeCell ref="J3:K3"/>
    <mergeCell ref="L3:M3"/>
    <mergeCell ref="N3:O3"/>
    <mergeCell ref="P3:Q3"/>
    <mergeCell ref="R3:S3"/>
    <mergeCell ref="T3:U3"/>
    <mergeCell ref="V3:W3"/>
    <mergeCell ref="X3:Y3"/>
    <mergeCell ref="Z3:AA3"/>
    <mergeCell ref="AB3:AC3"/>
  </mergeCells>
  <conditionalFormatting sqref="AP6:AP32">
    <cfRule type="expression" dxfId="1" priority="2">
      <formula>AP6&lt;0.8</formula>
    </cfRule>
    <cfRule type="expression" dxfId="0" priority="3">
      <formula>AP6&gt;=0.8</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zoomScaleNormal="100" workbookViewId="0">
      <pane ySplit="2" topLeftCell="A3" activePane="bottomLeft" state="frozen"/>
      <selection pane="bottomLeft" activeCell="AA11" sqref="AA11"/>
    </sheetView>
  </sheetViews>
  <sheetFormatPr defaultColWidth="8.7109375" defaultRowHeight="15" x14ac:dyDescent="0.25"/>
  <cols>
    <col min="1" max="1" width="4" customWidth="1"/>
    <col min="2" max="2" width="22" customWidth="1"/>
    <col min="3" max="3" width="20" customWidth="1"/>
    <col min="4" max="5" width="12" customWidth="1"/>
    <col min="6" max="6" width="8" customWidth="1"/>
    <col min="7" max="7" width="10" customWidth="1"/>
    <col min="8" max="8" width="14" customWidth="1"/>
  </cols>
  <sheetData>
    <row r="1" spans="1:8" ht="24" customHeight="1" x14ac:dyDescent="0.25">
      <c r="A1" s="48" t="s">
        <v>142</v>
      </c>
      <c r="B1" s="48"/>
      <c r="C1" s="48"/>
      <c r="D1" s="48"/>
      <c r="E1" s="48"/>
      <c r="F1" s="48"/>
      <c r="G1" s="48"/>
      <c r="H1" s="48"/>
    </row>
    <row r="2" spans="1:8" ht="18" customHeight="1" x14ac:dyDescent="0.25">
      <c r="A2" s="21" t="s">
        <v>2</v>
      </c>
      <c r="B2" s="21" t="s">
        <v>3</v>
      </c>
      <c r="C2" s="21" t="s">
        <v>4</v>
      </c>
      <c r="D2" s="21" t="s">
        <v>5</v>
      </c>
      <c r="E2" s="21" t="s">
        <v>143</v>
      </c>
      <c r="F2" s="21" t="s">
        <v>23</v>
      </c>
      <c r="G2" s="21" t="s">
        <v>24</v>
      </c>
      <c r="H2" s="21" t="s">
        <v>144</v>
      </c>
    </row>
    <row r="3" spans="1:8" ht="15" customHeight="1" x14ac:dyDescent="0.25">
      <c r="A3" s="9">
        <v>1</v>
      </c>
      <c r="B3" s="10" t="s">
        <v>59</v>
      </c>
      <c r="C3" s="10" t="s">
        <v>60</v>
      </c>
      <c r="D3" s="11" t="s">
        <v>61</v>
      </c>
      <c r="E3" s="13">
        <f>Asistencia!AN6</f>
        <v>23</v>
      </c>
      <c r="F3" s="14">
        <f>Asistencia!AO6</f>
        <v>0</v>
      </c>
      <c r="G3" s="15">
        <f>Asistencia!AP6</f>
        <v>0.71875</v>
      </c>
      <c r="H3" s="9" t="str">
        <f>IF(Asistencia!AP6="","Sin datos",IF(Asistencia!AP6&gt;=0.8,"✅ Asistencia!AB6ARegular","⚠️ En riesgo"))</f>
        <v>⚠️ En riesgo</v>
      </c>
    </row>
    <row r="4" spans="1:8" ht="15" customHeight="1" x14ac:dyDescent="0.25">
      <c r="A4" s="16">
        <v>2</v>
      </c>
      <c r="B4" s="17" t="s">
        <v>62</v>
      </c>
      <c r="C4" s="17" t="s">
        <v>63</v>
      </c>
      <c r="D4" s="18" t="s">
        <v>64</v>
      </c>
      <c r="E4" s="13">
        <f>Asistencia!AN7</f>
        <v>23</v>
      </c>
      <c r="F4" s="14">
        <f>Asistencia!AO7</f>
        <v>0</v>
      </c>
      <c r="G4" s="15">
        <f>Asistencia!AP7</f>
        <v>0.71875</v>
      </c>
      <c r="H4" s="16" t="str">
        <f>IF(Asistencia!AP7="","Sin datos",IF(Asistencia!AP7&gt;=0.8,"✅ Regular","⚠️ En riesgo"))</f>
        <v>⚠️ En riesgo</v>
      </c>
    </row>
    <row r="5" spans="1:8" ht="15" customHeight="1" x14ac:dyDescent="0.25">
      <c r="A5" s="9">
        <v>3</v>
      </c>
      <c r="B5" s="10" t="s">
        <v>65</v>
      </c>
      <c r="C5" s="10" t="s">
        <v>66</v>
      </c>
      <c r="D5" s="11" t="s">
        <v>67</v>
      </c>
      <c r="E5" s="13">
        <f>Asistencia!AN8</f>
        <v>23</v>
      </c>
      <c r="F5" s="14">
        <f>Asistencia!AO8</f>
        <v>0</v>
      </c>
      <c r="G5" s="15">
        <f>Asistencia!AP8</f>
        <v>0.71875</v>
      </c>
      <c r="H5" s="9" t="str">
        <f>IF(Asistencia!AP8="","Sin datos",IF(Asistencia!AP8&gt;=0.8,"✅ Regular","⚠️ En riesgo"))</f>
        <v>⚠️ En riesgo</v>
      </c>
    </row>
    <row r="6" spans="1:8" ht="15" customHeight="1" x14ac:dyDescent="0.25">
      <c r="A6" s="16">
        <v>4</v>
      </c>
      <c r="B6" s="17" t="s">
        <v>68</v>
      </c>
      <c r="C6" s="17" t="s">
        <v>69</v>
      </c>
      <c r="D6" s="18" t="s">
        <v>70</v>
      </c>
      <c r="E6" s="13">
        <f>Asistencia!AN9</f>
        <v>23</v>
      </c>
      <c r="F6" s="14">
        <f>Asistencia!AO9</f>
        <v>0</v>
      </c>
      <c r="G6" s="15">
        <f>Asistencia!AP9</f>
        <v>0.71875</v>
      </c>
      <c r="H6" s="16" t="str">
        <f>IF(Asistencia!AP9="","Sin datos",IF(Asistencia!AP9&gt;=0.8,"✅ Regular","⚠️ En riesgo"))</f>
        <v>⚠️ En riesgo</v>
      </c>
    </row>
    <row r="7" spans="1:8" ht="15" customHeight="1" x14ac:dyDescent="0.25">
      <c r="A7" s="9">
        <v>5</v>
      </c>
      <c r="B7" s="10" t="s">
        <v>71</v>
      </c>
      <c r="C7" s="10" t="s">
        <v>72</v>
      </c>
      <c r="D7" s="11" t="s">
        <v>73</v>
      </c>
      <c r="E7" s="13">
        <f>Asistencia!AN10</f>
        <v>23</v>
      </c>
      <c r="F7" s="14">
        <f>Asistencia!AO10</f>
        <v>0</v>
      </c>
      <c r="G7" s="15">
        <f>Asistencia!AP10</f>
        <v>0.71875</v>
      </c>
      <c r="H7" s="9" t="str">
        <f>IF(Asistencia!AP10="","Sin datos",IF(Asistencia!AP10&gt;=0.8,"✅ Regular","⚠️ En riesgo"))</f>
        <v>⚠️ En riesgo</v>
      </c>
    </row>
    <row r="8" spans="1:8" ht="15" customHeight="1" x14ac:dyDescent="0.25">
      <c r="A8" s="16">
        <v>6</v>
      </c>
      <c r="B8" s="17" t="s">
        <v>74</v>
      </c>
      <c r="C8" s="17" t="s">
        <v>75</v>
      </c>
      <c r="D8" s="18" t="s">
        <v>76</v>
      </c>
      <c r="E8" s="13">
        <f>Asistencia!AN11</f>
        <v>23</v>
      </c>
      <c r="F8" s="14">
        <f>Asistencia!AO11</f>
        <v>0</v>
      </c>
      <c r="G8" s="15">
        <f>Asistencia!AP11</f>
        <v>0.71875</v>
      </c>
      <c r="H8" s="16" t="str">
        <f>IF(Asistencia!AP11="","Sin datos",IF(Asistencia!AP11&gt;=0.8,"✅ Regular","⚠️ En riesgo"))</f>
        <v>⚠️ En riesgo</v>
      </c>
    </row>
    <row r="9" spans="1:8" ht="15" customHeight="1" x14ac:dyDescent="0.25">
      <c r="A9" s="9">
        <v>7</v>
      </c>
      <c r="B9" s="10" t="s">
        <v>77</v>
      </c>
      <c r="C9" s="10" t="s">
        <v>78</v>
      </c>
      <c r="D9" s="11" t="s">
        <v>79</v>
      </c>
      <c r="E9" s="13">
        <f>Asistencia!AN12</f>
        <v>23</v>
      </c>
      <c r="F9" s="14">
        <f>Asistencia!AO12</f>
        <v>0</v>
      </c>
      <c r="G9" s="15">
        <f>Asistencia!AP12</f>
        <v>0.71875</v>
      </c>
      <c r="H9" s="9" t="str">
        <f>IF(Asistencia!AP12="","Sin datos",IF(Asistencia!AP12&gt;=0.8,"✅ Regular","⚠️ En riesgo"))</f>
        <v>⚠️ En riesgo</v>
      </c>
    </row>
    <row r="10" spans="1:8" ht="15" customHeight="1" x14ac:dyDescent="0.25">
      <c r="A10" s="16">
        <v>8</v>
      </c>
      <c r="B10" s="17" t="s">
        <v>80</v>
      </c>
      <c r="C10" s="17" t="s">
        <v>81</v>
      </c>
      <c r="D10" s="18" t="s">
        <v>82</v>
      </c>
      <c r="E10" s="13">
        <f>Asistencia!AN13</f>
        <v>23</v>
      </c>
      <c r="F10" s="14">
        <f>Asistencia!AO13</f>
        <v>0</v>
      </c>
      <c r="G10" s="15">
        <f>Asistencia!AP13</f>
        <v>0.71875</v>
      </c>
      <c r="H10" s="16" t="str">
        <f>IF(Asistencia!AP13="","Sin datos",IF(Asistencia!AP13&gt;=0.8,"✅ Regular","⚠️ En riesgo"))</f>
        <v>⚠️ En riesgo</v>
      </c>
    </row>
    <row r="11" spans="1:8" ht="15" customHeight="1" x14ac:dyDescent="0.25">
      <c r="A11" s="9">
        <v>9</v>
      </c>
      <c r="B11" s="10" t="s">
        <v>83</v>
      </c>
      <c r="C11" s="10" t="s">
        <v>84</v>
      </c>
      <c r="D11" s="11" t="s">
        <v>85</v>
      </c>
      <c r="E11" s="13">
        <f>Asistencia!AN14</f>
        <v>23</v>
      </c>
      <c r="F11" s="14">
        <f>Asistencia!AO14</f>
        <v>0</v>
      </c>
      <c r="G11" s="15">
        <f>Asistencia!AP14</f>
        <v>0.71875</v>
      </c>
      <c r="H11" s="9" t="str">
        <f>IF(Asistencia!AP14="","Sin datos",IF(Asistencia!AP14&gt;=0.8,"✅ Regular","⚠️ En riesgo"))</f>
        <v>⚠️ En riesgo</v>
      </c>
    </row>
    <row r="12" spans="1:8" ht="15" customHeight="1" x14ac:dyDescent="0.25">
      <c r="A12" s="16">
        <v>10</v>
      </c>
      <c r="B12" s="17" t="s">
        <v>86</v>
      </c>
      <c r="C12" s="17" t="s">
        <v>87</v>
      </c>
      <c r="D12" s="18" t="s">
        <v>88</v>
      </c>
      <c r="E12" s="13">
        <f>Asistencia!AN15</f>
        <v>23</v>
      </c>
      <c r="F12" s="14">
        <f>Asistencia!AO15</f>
        <v>0</v>
      </c>
      <c r="G12" s="15">
        <f>Asistencia!AP15</f>
        <v>0.71875</v>
      </c>
      <c r="H12" s="16" t="str">
        <f>IF(Asistencia!AP15="","Sin datos",IF(Asistencia!AP15&gt;=0.8,"✅ Regular","⚠️ En riesgo"))</f>
        <v>⚠️ En riesgo</v>
      </c>
    </row>
    <row r="13" spans="1:8" ht="15" customHeight="1" x14ac:dyDescent="0.25">
      <c r="A13" s="9">
        <v>11</v>
      </c>
      <c r="B13" s="10" t="s">
        <v>89</v>
      </c>
      <c r="C13" s="10" t="s">
        <v>90</v>
      </c>
      <c r="D13" s="11" t="s">
        <v>91</v>
      </c>
      <c r="E13" s="13">
        <f>Asistencia!AN16</f>
        <v>23</v>
      </c>
      <c r="F13" s="14">
        <f>Asistencia!AO16</f>
        <v>0</v>
      </c>
      <c r="G13" s="15">
        <f>Asistencia!AP16</f>
        <v>0.71875</v>
      </c>
      <c r="H13" s="9" t="str">
        <f>IF(Asistencia!AP16="","Sin datos",IF(Asistencia!AP16&gt;=0.8,"✅ Regular","⚠️ En riesgo"))</f>
        <v>⚠️ En riesgo</v>
      </c>
    </row>
    <row r="14" spans="1:8" ht="15" customHeight="1" x14ac:dyDescent="0.25">
      <c r="A14" s="16">
        <v>12</v>
      </c>
      <c r="B14" s="17" t="s">
        <v>92</v>
      </c>
      <c r="C14" s="17" t="s">
        <v>93</v>
      </c>
      <c r="D14" s="18" t="s">
        <v>94</v>
      </c>
      <c r="E14" s="13">
        <f>Asistencia!AN17</f>
        <v>23</v>
      </c>
      <c r="F14" s="14">
        <f>Asistencia!AO17</f>
        <v>0</v>
      </c>
      <c r="G14" s="15">
        <f>Asistencia!AP17</f>
        <v>0.71875</v>
      </c>
      <c r="H14" s="16" t="str">
        <f>IF(Asistencia!AP17="","Sin datos",IF(Asistencia!AP17&gt;=0.8,"✅ Regular","⚠️ En riesgo"))</f>
        <v>⚠️ En riesgo</v>
      </c>
    </row>
    <row r="15" spans="1:8" ht="15" customHeight="1" x14ac:dyDescent="0.25">
      <c r="A15" s="9">
        <v>13</v>
      </c>
      <c r="B15" s="10" t="s">
        <v>95</v>
      </c>
      <c r="C15" s="10" t="s">
        <v>96</v>
      </c>
      <c r="D15" s="11" t="s">
        <v>97</v>
      </c>
      <c r="E15" s="13">
        <f>Asistencia!AN18</f>
        <v>23</v>
      </c>
      <c r="F15" s="14">
        <f>Asistencia!AO18</f>
        <v>0</v>
      </c>
      <c r="G15" s="15">
        <f>Asistencia!AP18</f>
        <v>0.71875</v>
      </c>
      <c r="H15" s="9" t="str">
        <f>IF(Asistencia!AP18="","Sin datos",IF(Asistencia!AP18&gt;=0.8,"✅ Regular","⚠️ En riesgo"))</f>
        <v>⚠️ En riesgo</v>
      </c>
    </row>
    <row r="16" spans="1:8" ht="15" customHeight="1" x14ac:dyDescent="0.25">
      <c r="A16" s="16">
        <v>14</v>
      </c>
      <c r="B16" s="17" t="s">
        <v>98</v>
      </c>
      <c r="C16" s="17" t="s">
        <v>99</v>
      </c>
      <c r="D16" s="18" t="s">
        <v>100</v>
      </c>
      <c r="E16" s="13">
        <f>Asistencia!AN19</f>
        <v>23</v>
      </c>
      <c r="F16" s="14">
        <f>Asistencia!AO19</f>
        <v>0</v>
      </c>
      <c r="G16" s="15">
        <f>Asistencia!AP19</f>
        <v>0.71875</v>
      </c>
      <c r="H16" s="16" t="str">
        <f>IF(Asistencia!AP19="","Sin datos",IF(Asistencia!AP19&gt;=0.8,"✅ Regular","⚠️ En riesgo"))</f>
        <v>⚠️ En riesgo</v>
      </c>
    </row>
    <row r="17" spans="1:8" ht="15" customHeight="1" x14ac:dyDescent="0.25">
      <c r="A17" s="9">
        <v>15</v>
      </c>
      <c r="B17" s="10" t="s">
        <v>101</v>
      </c>
      <c r="C17" s="10" t="s">
        <v>102</v>
      </c>
      <c r="D17" s="11" t="s">
        <v>103</v>
      </c>
      <c r="E17" s="13">
        <f>Asistencia!AN20</f>
        <v>23</v>
      </c>
      <c r="F17" s="14">
        <f>Asistencia!AO20</f>
        <v>0</v>
      </c>
      <c r="G17" s="15">
        <f>Asistencia!AP20</f>
        <v>0.71875</v>
      </c>
      <c r="H17" s="9" t="str">
        <f>IF(Asistencia!AP20="","Sin datos",IF(Asistencia!AP20&gt;=0.8,"✅ Regular","⚠️ En riesgo"))</f>
        <v>⚠️ En riesgo</v>
      </c>
    </row>
    <row r="18" spans="1:8" ht="15" customHeight="1" x14ac:dyDescent="0.25">
      <c r="A18" s="16">
        <v>16</v>
      </c>
      <c r="B18" s="17" t="s">
        <v>104</v>
      </c>
      <c r="C18" s="17" t="s">
        <v>105</v>
      </c>
      <c r="D18" s="18" t="s">
        <v>106</v>
      </c>
      <c r="E18" s="13">
        <f>Asistencia!AN21</f>
        <v>23</v>
      </c>
      <c r="F18" s="14">
        <f>Asistencia!AO21</f>
        <v>0</v>
      </c>
      <c r="G18" s="15">
        <f>Asistencia!AP21</f>
        <v>0.71875</v>
      </c>
      <c r="H18" s="16" t="str">
        <f>IF(Asistencia!AP21="","Sin datos",IF(Asistencia!AP21&gt;=0.8,"✅ Regular","⚠️ En riesgo"))</f>
        <v>⚠️ En riesgo</v>
      </c>
    </row>
    <row r="19" spans="1:8" ht="15" customHeight="1" x14ac:dyDescent="0.25">
      <c r="A19" s="9">
        <v>17</v>
      </c>
      <c r="B19" s="10" t="s">
        <v>107</v>
      </c>
      <c r="C19" s="10" t="s">
        <v>108</v>
      </c>
      <c r="D19" s="11" t="s">
        <v>109</v>
      </c>
      <c r="E19" s="13">
        <f>Asistencia!AN22</f>
        <v>23</v>
      </c>
      <c r="F19" s="14">
        <f>Asistencia!AO22</f>
        <v>0</v>
      </c>
      <c r="G19" s="15">
        <f>Asistencia!AP22</f>
        <v>0.71875</v>
      </c>
      <c r="H19" s="9" t="str">
        <f>IF(Asistencia!AP22="","Sin datos",IF(Asistencia!AP22&gt;=0.8,"✅ Regular","⚠️ En riesgo"))</f>
        <v>⚠️ En riesgo</v>
      </c>
    </row>
    <row r="20" spans="1:8" ht="15" customHeight="1" x14ac:dyDescent="0.25">
      <c r="A20" s="16">
        <v>18</v>
      </c>
      <c r="B20" s="17" t="s">
        <v>110</v>
      </c>
      <c r="C20" s="17" t="s">
        <v>111</v>
      </c>
      <c r="D20" s="18" t="s">
        <v>112</v>
      </c>
      <c r="E20" s="13">
        <f>Asistencia!AN23</f>
        <v>23</v>
      </c>
      <c r="F20" s="14">
        <f>Asistencia!AO23</f>
        <v>0</v>
      </c>
      <c r="G20" s="15">
        <f>Asistencia!AP23</f>
        <v>0.71875</v>
      </c>
      <c r="H20" s="16" t="str">
        <f>IF(Asistencia!AP23="","Sin datos",IF(Asistencia!AP23&gt;=0.8,"✅ Regular","⚠️ En riesgo"))</f>
        <v>⚠️ En riesgo</v>
      </c>
    </row>
    <row r="21" spans="1:8" ht="15" customHeight="1" x14ac:dyDescent="0.25">
      <c r="A21" s="9">
        <v>19</v>
      </c>
      <c r="B21" s="10" t="s">
        <v>113</v>
      </c>
      <c r="C21" s="10" t="s">
        <v>114</v>
      </c>
      <c r="D21" s="11" t="s">
        <v>115</v>
      </c>
      <c r="E21" s="13">
        <f>Asistencia!AN24</f>
        <v>23</v>
      </c>
      <c r="F21" s="14">
        <f>Asistencia!AO24</f>
        <v>0</v>
      </c>
      <c r="G21" s="15">
        <f>Asistencia!AP24</f>
        <v>0.71875</v>
      </c>
      <c r="H21" s="9" t="str">
        <f>IF(Asistencia!AP24="","Sin datos",IF(Asistencia!AP24&gt;=0.8,"✅ Regular","⚠️ En riesgo"))</f>
        <v>⚠️ En riesgo</v>
      </c>
    </row>
    <row r="22" spans="1:8" ht="15" customHeight="1" x14ac:dyDescent="0.25">
      <c r="A22" s="16">
        <v>20</v>
      </c>
      <c r="B22" s="17" t="s">
        <v>116</v>
      </c>
      <c r="C22" s="17" t="s">
        <v>117</v>
      </c>
      <c r="D22" s="18" t="s">
        <v>118</v>
      </c>
      <c r="E22" s="13">
        <f>Asistencia!AN25</f>
        <v>23</v>
      </c>
      <c r="F22" s="14">
        <f>Asistencia!AO25</f>
        <v>0</v>
      </c>
      <c r="G22" s="15">
        <f>Asistencia!AP25</f>
        <v>0.71875</v>
      </c>
      <c r="H22" s="16" t="str">
        <f>IF(Asistencia!AP25="","Sin datos",IF(Asistencia!AP25&gt;=0.8,"✅ Regular","⚠️ En riesgo"))</f>
        <v>⚠️ En riesgo</v>
      </c>
    </row>
    <row r="23" spans="1:8" ht="15" customHeight="1" x14ac:dyDescent="0.25">
      <c r="A23" s="9">
        <v>21</v>
      </c>
      <c r="B23" s="10" t="s">
        <v>119</v>
      </c>
      <c r="C23" s="10" t="s">
        <v>120</v>
      </c>
      <c r="D23" s="11" t="s">
        <v>121</v>
      </c>
      <c r="E23" s="13">
        <f>Asistencia!AN26</f>
        <v>23</v>
      </c>
      <c r="F23" s="14">
        <f>Asistencia!AO26</f>
        <v>0</v>
      </c>
      <c r="G23" s="15">
        <f>Asistencia!AP26</f>
        <v>0.71875</v>
      </c>
      <c r="H23" s="9" t="str">
        <f>IF(Asistencia!AP26="","Sin datos",IF(Asistencia!AP26&gt;=0.8,"✅ Regular","⚠️ En riesgo"))</f>
        <v>⚠️ En riesgo</v>
      </c>
    </row>
    <row r="24" spans="1:8" ht="15" customHeight="1" x14ac:dyDescent="0.25">
      <c r="A24" s="16">
        <v>22</v>
      </c>
      <c r="B24" s="17" t="s">
        <v>122</v>
      </c>
      <c r="C24" s="17" t="s">
        <v>123</v>
      </c>
      <c r="D24" s="18" t="s">
        <v>124</v>
      </c>
      <c r="E24" s="13">
        <f>Asistencia!AN27</f>
        <v>23</v>
      </c>
      <c r="F24" s="14">
        <f>Asistencia!AO27</f>
        <v>0</v>
      </c>
      <c r="G24" s="15">
        <f>Asistencia!AP27</f>
        <v>0.71875</v>
      </c>
      <c r="H24" s="16" t="str">
        <f>IF(Asistencia!AP27="","Sin datos",IF(Asistencia!AP27&gt;=0.8,"✅ Regular","⚠️ En riesgo"))</f>
        <v>⚠️ En riesgo</v>
      </c>
    </row>
    <row r="25" spans="1:8" ht="15" customHeight="1" x14ac:dyDescent="0.25">
      <c r="A25" s="9">
        <v>23</v>
      </c>
      <c r="B25" s="10" t="s">
        <v>125</v>
      </c>
      <c r="C25" s="10" t="s">
        <v>126</v>
      </c>
      <c r="D25" s="11" t="s">
        <v>127</v>
      </c>
      <c r="E25" s="13">
        <f>Asistencia!AN28</f>
        <v>23</v>
      </c>
      <c r="F25" s="14">
        <f>Asistencia!AO28</f>
        <v>0</v>
      </c>
      <c r="G25" s="15">
        <f>Asistencia!AP28</f>
        <v>0.71875</v>
      </c>
      <c r="H25" s="9" t="str">
        <f>IF(Asistencia!AP28="","Sin datos",IF(Asistencia!AP28&gt;=0.8,"✅ Regular","⚠️ En riesgo"))</f>
        <v>⚠️ En riesgo</v>
      </c>
    </row>
    <row r="26" spans="1:8" ht="15" customHeight="1" x14ac:dyDescent="0.25">
      <c r="A26" s="16">
        <v>24</v>
      </c>
      <c r="B26" s="17" t="s">
        <v>128</v>
      </c>
      <c r="C26" s="17" t="s">
        <v>129</v>
      </c>
      <c r="D26" s="18" t="s">
        <v>130</v>
      </c>
      <c r="E26" s="13">
        <f>Asistencia!AN29</f>
        <v>23</v>
      </c>
      <c r="F26" s="14">
        <f>Asistencia!AO29</f>
        <v>0</v>
      </c>
      <c r="G26" s="15">
        <f>Asistencia!AP29</f>
        <v>0.71875</v>
      </c>
      <c r="H26" s="16" t="str">
        <f>IF(Asistencia!AP29="","Sin datos",IF(Asistencia!AP29&gt;=0.8,"✅ Regular","⚠️ En riesgo"))</f>
        <v>⚠️ En riesgo</v>
      </c>
    </row>
    <row r="27" spans="1:8" ht="15" customHeight="1" x14ac:dyDescent="0.25">
      <c r="A27" s="9">
        <v>25</v>
      </c>
      <c r="B27" s="10" t="s">
        <v>131</v>
      </c>
      <c r="C27" s="10" t="s">
        <v>132</v>
      </c>
      <c r="D27" s="11" t="s">
        <v>133</v>
      </c>
      <c r="E27" s="13">
        <f>Asistencia!AN30</f>
        <v>23</v>
      </c>
      <c r="F27" s="14">
        <f>Asistencia!AO30</f>
        <v>0</v>
      </c>
      <c r="G27" s="15">
        <f>Asistencia!AP30</f>
        <v>0.71875</v>
      </c>
      <c r="H27" s="9" t="str">
        <f>IF(Asistencia!AP30="","Sin datos",IF(Asistencia!AP30&gt;=0.8,"✅ Regular","⚠️ En riesgo"))</f>
        <v>⚠️ En riesgo</v>
      </c>
    </row>
    <row r="28" spans="1:8" ht="15" customHeight="1" x14ac:dyDescent="0.25">
      <c r="A28" s="16">
        <v>26</v>
      </c>
      <c r="B28" s="17" t="s">
        <v>134</v>
      </c>
      <c r="C28" s="17" t="s">
        <v>135</v>
      </c>
      <c r="D28" s="18" t="s">
        <v>136</v>
      </c>
      <c r="E28" s="13">
        <f>Asistencia!AN31</f>
        <v>23</v>
      </c>
      <c r="F28" s="14">
        <f>Asistencia!AO31</f>
        <v>0</v>
      </c>
      <c r="G28" s="15">
        <f>Asistencia!AP31</f>
        <v>0.71875</v>
      </c>
      <c r="H28" s="16" t="str">
        <f>IF(Asistencia!AP31="","Sin datos",IF(Asistencia!AP31&gt;=0.8,"✅ Regular","⚠️ En riesgo"))</f>
        <v>⚠️ En riesgo</v>
      </c>
    </row>
    <row r="29" spans="1:8" ht="15" customHeight="1" x14ac:dyDescent="0.25">
      <c r="A29" s="9">
        <v>27</v>
      </c>
      <c r="B29" s="10" t="s">
        <v>137</v>
      </c>
      <c r="C29" s="10" t="s">
        <v>138</v>
      </c>
      <c r="D29" s="11" t="s">
        <v>139</v>
      </c>
      <c r="E29" s="13">
        <f>Asistencia!AN32</f>
        <v>23</v>
      </c>
      <c r="F29" s="14">
        <f>Asistencia!AO32</f>
        <v>0</v>
      </c>
      <c r="G29" s="15">
        <f>Asistencia!AP32</f>
        <v>0.71875</v>
      </c>
      <c r="H29" s="9" t="str">
        <f>IF(Asistencia!AP32="","Sin datos",IF(Asistencia!AP32&gt;=0.8,"✅ Regular","⚠️ En riesgo"))</f>
        <v>⚠️ En riesgo</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1B1C-465B-40C3-B31E-0122F766D036}">
  <dimension ref="A1:Z28"/>
  <sheetViews>
    <sheetView topLeftCell="A4" workbookViewId="0">
      <selection activeCell="B27" sqref="B27"/>
    </sheetView>
  </sheetViews>
  <sheetFormatPr defaultRowHeight="15" x14ac:dyDescent="0.25"/>
  <cols>
    <col min="1" max="1" width="18" bestFit="1" customWidth="1"/>
    <col min="2" max="2" width="39.42578125" customWidth="1"/>
    <col min="3" max="3" width="21.140625" customWidth="1"/>
    <col min="4" max="4" width="13.140625" customWidth="1"/>
    <col min="5" max="5" width="13.140625" style="27" customWidth="1"/>
  </cols>
  <sheetData>
    <row r="1" spans="1:26" x14ac:dyDescent="0.25">
      <c r="A1" s="34" t="s">
        <v>148</v>
      </c>
      <c r="B1" s="34" t="s">
        <v>276</v>
      </c>
      <c r="C1" s="34" t="s">
        <v>149</v>
      </c>
      <c r="D1" s="34" t="s">
        <v>273</v>
      </c>
      <c r="E1" s="35" t="s">
        <v>150</v>
      </c>
      <c r="F1" s="34" t="s">
        <v>151</v>
      </c>
      <c r="G1" s="34" t="s">
        <v>152</v>
      </c>
      <c r="H1" s="34" t="s">
        <v>153</v>
      </c>
      <c r="I1" s="34" t="s">
        <v>154</v>
      </c>
      <c r="J1" s="34" t="s">
        <v>155</v>
      </c>
      <c r="K1" s="34" t="s">
        <v>156</v>
      </c>
      <c r="L1" s="34" t="s">
        <v>157</v>
      </c>
      <c r="M1" s="34" t="s">
        <v>158</v>
      </c>
      <c r="N1" s="34" t="s">
        <v>159</v>
      </c>
      <c r="O1" s="34" t="s">
        <v>160</v>
      </c>
      <c r="P1" s="34" t="s">
        <v>161</v>
      </c>
      <c r="Q1" s="34" t="s">
        <v>162</v>
      </c>
      <c r="R1" s="34" t="s">
        <v>163</v>
      </c>
      <c r="S1" s="34" t="s">
        <v>164</v>
      </c>
      <c r="T1" s="34" t="s">
        <v>165</v>
      </c>
      <c r="U1" s="34" t="s">
        <v>166</v>
      </c>
      <c r="V1" s="34" t="s">
        <v>167</v>
      </c>
      <c r="W1" s="34" t="s">
        <v>168</v>
      </c>
      <c r="X1" s="34" t="s">
        <v>169</v>
      </c>
      <c r="Y1" s="34" t="s">
        <v>170</v>
      </c>
      <c r="Z1" s="34" t="s">
        <v>171</v>
      </c>
    </row>
    <row r="2" spans="1:26" x14ac:dyDescent="0.25">
      <c r="A2" s="36">
        <v>46106.414525462962</v>
      </c>
      <c r="B2" s="36" t="s">
        <v>277</v>
      </c>
      <c r="C2" s="37" t="s">
        <v>180</v>
      </c>
      <c r="D2" s="38" t="s">
        <v>181</v>
      </c>
      <c r="E2" s="39">
        <f>MIN(100,VALUE(TRIM(LEFT(D2,FIND("/",D2)-1))))</f>
        <v>94</v>
      </c>
      <c r="F2" s="37" t="s">
        <v>182</v>
      </c>
      <c r="G2" s="37" t="s">
        <v>183</v>
      </c>
      <c r="H2" s="37" t="s">
        <v>184</v>
      </c>
      <c r="I2" s="37" t="s">
        <v>174</v>
      </c>
      <c r="J2" s="37" t="s">
        <v>175</v>
      </c>
      <c r="K2" s="37" t="s">
        <v>185</v>
      </c>
      <c r="L2" s="37" t="s">
        <v>186</v>
      </c>
      <c r="M2" s="37" t="s">
        <v>187</v>
      </c>
      <c r="N2" s="37" t="s">
        <v>188</v>
      </c>
      <c r="O2" s="37" t="s">
        <v>189</v>
      </c>
      <c r="P2" s="37" t="s">
        <v>178</v>
      </c>
      <c r="Q2" s="37" t="s">
        <v>179</v>
      </c>
      <c r="R2" s="37" t="s">
        <v>178</v>
      </c>
      <c r="S2" s="37" t="s">
        <v>178</v>
      </c>
      <c r="T2" s="37" t="s">
        <v>179</v>
      </c>
      <c r="U2" s="37" t="s">
        <v>178</v>
      </c>
      <c r="V2" s="37" t="s">
        <v>179</v>
      </c>
      <c r="W2" s="37" t="s">
        <v>178</v>
      </c>
      <c r="X2" s="37" t="s">
        <v>179</v>
      </c>
      <c r="Y2" s="37" t="s">
        <v>178</v>
      </c>
      <c r="Z2" s="37" t="s">
        <v>190</v>
      </c>
    </row>
    <row r="3" spans="1:26" x14ac:dyDescent="0.25">
      <c r="A3" s="40">
        <v>46106.414560185185</v>
      </c>
      <c r="B3" s="40" t="s">
        <v>278</v>
      </c>
      <c r="C3" s="41" t="s">
        <v>191</v>
      </c>
      <c r="D3" s="42" t="s">
        <v>192</v>
      </c>
      <c r="E3" s="39">
        <f t="shared" ref="E3:E28" si="0">MIN(100,VALUE(TRIM(LEFT(D3,FIND("/",D3)-1))))</f>
        <v>100</v>
      </c>
      <c r="F3" s="41" t="s">
        <v>182</v>
      </c>
      <c r="G3" s="41" t="s">
        <v>193</v>
      </c>
      <c r="H3" s="41" t="s">
        <v>184</v>
      </c>
      <c r="I3" s="41" t="s">
        <v>174</v>
      </c>
      <c r="J3" s="41" t="s">
        <v>175</v>
      </c>
      <c r="K3" s="41" t="s">
        <v>185</v>
      </c>
      <c r="L3" s="41" t="s">
        <v>186</v>
      </c>
      <c r="M3" s="41" t="s">
        <v>187</v>
      </c>
      <c r="N3" s="41" t="s">
        <v>188</v>
      </c>
      <c r="O3" s="41" t="s">
        <v>189</v>
      </c>
      <c r="P3" s="41" t="s">
        <v>178</v>
      </c>
      <c r="Q3" s="41" t="s">
        <v>179</v>
      </c>
      <c r="R3" s="41" t="s">
        <v>178</v>
      </c>
      <c r="S3" s="41" t="s">
        <v>178</v>
      </c>
      <c r="T3" s="41" t="s">
        <v>179</v>
      </c>
      <c r="U3" s="41" t="s">
        <v>179</v>
      </c>
      <c r="V3" s="41" t="s">
        <v>178</v>
      </c>
      <c r="W3" s="41" t="s">
        <v>178</v>
      </c>
      <c r="X3" s="41" t="s">
        <v>179</v>
      </c>
      <c r="Y3" s="41" t="s">
        <v>178</v>
      </c>
      <c r="Z3" s="41" t="s">
        <v>194</v>
      </c>
    </row>
    <row r="4" spans="1:26" x14ac:dyDescent="0.25">
      <c r="A4" s="36">
        <v>46106.41511574074</v>
      </c>
      <c r="B4" s="36" t="s">
        <v>279</v>
      </c>
      <c r="C4" s="37" t="s">
        <v>195</v>
      </c>
      <c r="D4" s="38" t="s">
        <v>196</v>
      </c>
      <c r="E4" s="39">
        <f t="shared" si="0"/>
        <v>100</v>
      </c>
      <c r="F4" s="37" t="s">
        <v>182</v>
      </c>
      <c r="G4" s="37" t="s">
        <v>193</v>
      </c>
      <c r="H4" s="37" t="s">
        <v>184</v>
      </c>
      <c r="I4" s="37" t="s">
        <v>174</v>
      </c>
      <c r="J4" s="37" t="s">
        <v>175</v>
      </c>
      <c r="K4" s="37" t="s">
        <v>185</v>
      </c>
      <c r="L4" s="37" t="s">
        <v>186</v>
      </c>
      <c r="M4" s="37" t="s">
        <v>187</v>
      </c>
      <c r="N4" s="37" t="s">
        <v>188</v>
      </c>
      <c r="O4" s="37" t="s">
        <v>189</v>
      </c>
      <c r="P4" s="37" t="s">
        <v>178</v>
      </c>
      <c r="Q4" s="37" t="s">
        <v>179</v>
      </c>
      <c r="R4" s="37" t="s">
        <v>178</v>
      </c>
      <c r="S4" s="37" t="s">
        <v>178</v>
      </c>
      <c r="T4" s="37" t="s">
        <v>179</v>
      </c>
      <c r="U4" s="37" t="s">
        <v>179</v>
      </c>
      <c r="V4" s="37" t="s">
        <v>178</v>
      </c>
      <c r="W4" s="37" t="s">
        <v>178</v>
      </c>
      <c r="X4" s="37" t="s">
        <v>179</v>
      </c>
      <c r="Y4" s="37" t="s">
        <v>178</v>
      </c>
      <c r="Z4" s="37" t="s">
        <v>197</v>
      </c>
    </row>
    <row r="5" spans="1:26" x14ac:dyDescent="0.25">
      <c r="A5" s="40">
        <v>46106.416435185187</v>
      </c>
      <c r="B5" s="40" t="s">
        <v>280</v>
      </c>
      <c r="C5" s="41" t="s">
        <v>198</v>
      </c>
      <c r="D5" s="42" t="s">
        <v>199</v>
      </c>
      <c r="E5" s="39">
        <f t="shared" si="0"/>
        <v>88</v>
      </c>
      <c r="F5" s="41" t="s">
        <v>182</v>
      </c>
      <c r="G5" s="41" t="s">
        <v>193</v>
      </c>
      <c r="H5" s="41" t="s">
        <v>184</v>
      </c>
      <c r="I5" s="41" t="s">
        <v>174</v>
      </c>
      <c r="J5" s="41" t="s">
        <v>200</v>
      </c>
      <c r="K5" s="41" t="s">
        <v>201</v>
      </c>
      <c r="L5" s="41" t="s">
        <v>186</v>
      </c>
      <c r="M5" s="41" t="s">
        <v>187</v>
      </c>
      <c r="N5" s="41" t="s">
        <v>188</v>
      </c>
      <c r="O5" s="41" t="s">
        <v>189</v>
      </c>
      <c r="P5" s="41" t="s">
        <v>178</v>
      </c>
      <c r="Q5" s="41" t="s">
        <v>179</v>
      </c>
      <c r="R5" s="41" t="s">
        <v>178</v>
      </c>
      <c r="S5" s="41" t="s">
        <v>178</v>
      </c>
      <c r="T5" s="41" t="s">
        <v>179</v>
      </c>
      <c r="U5" s="41" t="s">
        <v>178</v>
      </c>
      <c r="V5" s="41" t="s">
        <v>179</v>
      </c>
      <c r="W5" s="41" t="s">
        <v>178</v>
      </c>
      <c r="X5" s="41" t="s">
        <v>179</v>
      </c>
      <c r="Y5" s="41" t="s">
        <v>178</v>
      </c>
      <c r="Z5" s="41" t="s">
        <v>202</v>
      </c>
    </row>
    <row r="6" spans="1:26" x14ac:dyDescent="0.25">
      <c r="A6" s="36">
        <v>46106.416608796295</v>
      </c>
      <c r="B6" s="36" t="s">
        <v>281</v>
      </c>
      <c r="C6" s="37" t="s">
        <v>203</v>
      </c>
      <c r="D6" s="38" t="s">
        <v>204</v>
      </c>
      <c r="E6" s="39">
        <f t="shared" si="0"/>
        <v>100</v>
      </c>
      <c r="F6" s="37" t="s">
        <v>182</v>
      </c>
      <c r="G6" s="37" t="s">
        <v>193</v>
      </c>
      <c r="H6" s="37" t="s">
        <v>184</v>
      </c>
      <c r="I6" s="37" t="s">
        <v>174</v>
      </c>
      <c r="J6" s="37" t="s">
        <v>200</v>
      </c>
      <c r="K6" s="37" t="s">
        <v>185</v>
      </c>
      <c r="L6" s="37" t="s">
        <v>186</v>
      </c>
      <c r="M6" s="37" t="s">
        <v>187</v>
      </c>
      <c r="N6" s="37" t="s">
        <v>188</v>
      </c>
      <c r="O6" s="37" t="s">
        <v>189</v>
      </c>
      <c r="P6" s="37" t="s">
        <v>178</v>
      </c>
      <c r="Q6" s="37" t="s">
        <v>179</v>
      </c>
      <c r="R6" s="37" t="s">
        <v>178</v>
      </c>
      <c r="S6" s="37" t="s">
        <v>178</v>
      </c>
      <c r="T6" s="37" t="s">
        <v>179</v>
      </c>
      <c r="U6" s="37" t="s">
        <v>179</v>
      </c>
      <c r="V6" s="37" t="s">
        <v>178</v>
      </c>
      <c r="W6" s="37" t="s">
        <v>178</v>
      </c>
      <c r="X6" s="37" t="s">
        <v>179</v>
      </c>
      <c r="Y6" s="37" t="s">
        <v>178</v>
      </c>
      <c r="Z6" s="37" t="s">
        <v>205</v>
      </c>
    </row>
    <row r="7" spans="1:26" x14ac:dyDescent="0.25">
      <c r="A7" s="40">
        <v>46106.417118055557</v>
      </c>
      <c r="B7" s="40" t="s">
        <v>282</v>
      </c>
      <c r="C7" s="41" t="s">
        <v>206</v>
      </c>
      <c r="D7" s="42" t="s">
        <v>192</v>
      </c>
      <c r="E7" s="39">
        <f t="shared" si="0"/>
        <v>100</v>
      </c>
      <c r="F7" s="41" t="s">
        <v>182</v>
      </c>
      <c r="G7" s="41" t="s">
        <v>193</v>
      </c>
      <c r="H7" s="41" t="s">
        <v>184</v>
      </c>
      <c r="I7" s="41" t="s">
        <v>174</v>
      </c>
      <c r="J7" s="41" t="s">
        <v>175</v>
      </c>
      <c r="K7" s="41" t="s">
        <v>185</v>
      </c>
      <c r="L7" s="41" t="s">
        <v>186</v>
      </c>
      <c r="M7" s="41" t="s">
        <v>187</v>
      </c>
      <c r="N7" s="41" t="s">
        <v>188</v>
      </c>
      <c r="O7" s="41" t="s">
        <v>189</v>
      </c>
      <c r="P7" s="41" t="s">
        <v>178</v>
      </c>
      <c r="Q7" s="41" t="s">
        <v>179</v>
      </c>
      <c r="R7" s="41" t="s">
        <v>178</v>
      </c>
      <c r="S7" s="41" t="s">
        <v>178</v>
      </c>
      <c r="T7" s="41" t="s">
        <v>179</v>
      </c>
      <c r="U7" s="41" t="s">
        <v>179</v>
      </c>
      <c r="V7" s="41" t="s">
        <v>178</v>
      </c>
      <c r="W7" s="41" t="s">
        <v>178</v>
      </c>
      <c r="X7" s="41" t="s">
        <v>179</v>
      </c>
      <c r="Y7" s="41" t="s">
        <v>178</v>
      </c>
      <c r="Z7" s="41" t="s">
        <v>207</v>
      </c>
    </row>
    <row r="8" spans="1:26" x14ac:dyDescent="0.25">
      <c r="A8" s="36">
        <v>46106.417129629626</v>
      </c>
      <c r="B8" s="36" t="s">
        <v>283</v>
      </c>
      <c r="C8" s="37" t="s">
        <v>208</v>
      </c>
      <c r="D8" s="38" t="s">
        <v>192</v>
      </c>
      <c r="E8" s="39">
        <f t="shared" si="0"/>
        <v>100</v>
      </c>
      <c r="F8" s="37" t="s">
        <v>182</v>
      </c>
      <c r="G8" s="37" t="s">
        <v>193</v>
      </c>
      <c r="H8" s="37" t="s">
        <v>184</v>
      </c>
      <c r="I8" s="37" t="s">
        <v>174</v>
      </c>
      <c r="J8" s="37" t="s">
        <v>175</v>
      </c>
      <c r="K8" s="37" t="s">
        <v>185</v>
      </c>
      <c r="L8" s="37" t="s">
        <v>186</v>
      </c>
      <c r="M8" s="37" t="s">
        <v>187</v>
      </c>
      <c r="N8" s="37" t="s">
        <v>188</v>
      </c>
      <c r="O8" s="37" t="s">
        <v>189</v>
      </c>
      <c r="P8" s="37" t="s">
        <v>178</v>
      </c>
      <c r="Q8" s="37" t="s">
        <v>179</v>
      </c>
      <c r="R8" s="37" t="s">
        <v>178</v>
      </c>
      <c r="S8" s="37" t="s">
        <v>178</v>
      </c>
      <c r="T8" s="37" t="s">
        <v>179</v>
      </c>
      <c r="U8" s="37" t="s">
        <v>179</v>
      </c>
      <c r="V8" s="37" t="s">
        <v>178</v>
      </c>
      <c r="W8" s="37" t="s">
        <v>178</v>
      </c>
      <c r="X8" s="37" t="s">
        <v>179</v>
      </c>
      <c r="Y8" s="37" t="s">
        <v>178</v>
      </c>
      <c r="Z8" s="37" t="s">
        <v>209</v>
      </c>
    </row>
    <row r="9" spans="1:26" x14ac:dyDescent="0.25">
      <c r="A9" s="40">
        <v>46106.417349537034</v>
      </c>
      <c r="B9" s="40" t="s">
        <v>284</v>
      </c>
      <c r="C9" s="41" t="s">
        <v>210</v>
      </c>
      <c r="D9" s="42" t="s">
        <v>192</v>
      </c>
      <c r="E9" s="39">
        <f t="shared" si="0"/>
        <v>100</v>
      </c>
      <c r="F9" s="41" t="s">
        <v>182</v>
      </c>
      <c r="G9" s="41" t="s">
        <v>193</v>
      </c>
      <c r="H9" s="41" t="s">
        <v>184</v>
      </c>
      <c r="I9" s="41" t="s">
        <v>174</v>
      </c>
      <c r="J9" s="41" t="s">
        <v>175</v>
      </c>
      <c r="K9" s="41" t="s">
        <v>185</v>
      </c>
      <c r="L9" s="41" t="s">
        <v>186</v>
      </c>
      <c r="M9" s="41" t="s">
        <v>187</v>
      </c>
      <c r="N9" s="41" t="s">
        <v>188</v>
      </c>
      <c r="O9" s="41" t="s">
        <v>189</v>
      </c>
      <c r="P9" s="41" t="s">
        <v>178</v>
      </c>
      <c r="Q9" s="41" t="s">
        <v>179</v>
      </c>
      <c r="R9" s="41" t="s">
        <v>178</v>
      </c>
      <c r="S9" s="41" t="s">
        <v>178</v>
      </c>
      <c r="T9" s="41" t="s">
        <v>179</v>
      </c>
      <c r="U9" s="41" t="s">
        <v>179</v>
      </c>
      <c r="V9" s="41" t="s">
        <v>178</v>
      </c>
      <c r="W9" s="41" t="s">
        <v>178</v>
      </c>
      <c r="X9" s="41" t="s">
        <v>179</v>
      </c>
      <c r="Y9" s="41" t="s">
        <v>178</v>
      </c>
      <c r="Z9" s="41" t="s">
        <v>211</v>
      </c>
    </row>
    <row r="10" spans="1:26" x14ac:dyDescent="0.25">
      <c r="A10" s="36">
        <v>46106.418194444443</v>
      </c>
      <c r="B10" s="36" t="s">
        <v>285</v>
      </c>
      <c r="C10" s="37" t="s">
        <v>212</v>
      </c>
      <c r="D10" s="38" t="s">
        <v>213</v>
      </c>
      <c r="E10" s="39">
        <f t="shared" si="0"/>
        <v>90</v>
      </c>
      <c r="F10" s="37" t="s">
        <v>182</v>
      </c>
      <c r="G10" s="37" t="s">
        <v>193</v>
      </c>
      <c r="H10" s="37" t="s">
        <v>184</v>
      </c>
      <c r="I10" s="37" t="s">
        <v>174</v>
      </c>
      <c r="J10" s="37" t="s">
        <v>214</v>
      </c>
      <c r="K10" s="37" t="s">
        <v>215</v>
      </c>
      <c r="L10" s="37" t="s">
        <v>186</v>
      </c>
      <c r="M10" s="37" t="s">
        <v>187</v>
      </c>
      <c r="N10" s="37" t="s">
        <v>188</v>
      </c>
      <c r="O10" s="37" t="s">
        <v>189</v>
      </c>
      <c r="P10" s="37" t="s">
        <v>178</v>
      </c>
      <c r="Q10" s="37" t="s">
        <v>179</v>
      </c>
      <c r="R10" s="37" t="s">
        <v>178</v>
      </c>
      <c r="S10" s="37" t="s">
        <v>178</v>
      </c>
      <c r="T10" s="37" t="s">
        <v>178</v>
      </c>
      <c r="U10" s="37" t="s">
        <v>178</v>
      </c>
      <c r="V10" s="37" t="s">
        <v>178</v>
      </c>
      <c r="W10" s="37" t="s">
        <v>178</v>
      </c>
      <c r="X10" s="37" t="s">
        <v>179</v>
      </c>
      <c r="Y10" s="37" t="s">
        <v>178</v>
      </c>
      <c r="Z10" s="37" t="s">
        <v>216</v>
      </c>
    </row>
    <row r="11" spans="1:26" x14ac:dyDescent="0.25">
      <c r="A11" s="40">
        <v>46106.418958333335</v>
      </c>
      <c r="B11" s="40" t="s">
        <v>286</v>
      </c>
      <c r="C11" s="41" t="s">
        <v>217</v>
      </c>
      <c r="D11" s="42" t="s">
        <v>218</v>
      </c>
      <c r="E11" s="39">
        <f t="shared" si="0"/>
        <v>98</v>
      </c>
      <c r="F11" s="41" t="s">
        <v>182</v>
      </c>
      <c r="G11" s="41" t="s">
        <v>193</v>
      </c>
      <c r="H11" s="41" t="s">
        <v>184</v>
      </c>
      <c r="I11" s="41" t="s">
        <v>174</v>
      </c>
      <c r="J11" s="41" t="s">
        <v>175</v>
      </c>
      <c r="K11" s="41" t="s">
        <v>185</v>
      </c>
      <c r="L11" s="41" t="s">
        <v>219</v>
      </c>
      <c r="M11" s="41" t="s">
        <v>187</v>
      </c>
      <c r="N11" s="41" t="s">
        <v>188</v>
      </c>
      <c r="O11" s="41" t="s">
        <v>189</v>
      </c>
      <c r="P11" s="41" t="s">
        <v>178</v>
      </c>
      <c r="Q11" s="41" t="s">
        <v>179</v>
      </c>
      <c r="R11" s="41" t="s">
        <v>178</v>
      </c>
      <c r="S11" s="41" t="s">
        <v>178</v>
      </c>
      <c r="T11" s="41" t="s">
        <v>179</v>
      </c>
      <c r="U11" s="41" t="s">
        <v>178</v>
      </c>
      <c r="V11" s="41" t="s">
        <v>178</v>
      </c>
      <c r="W11" s="41" t="s">
        <v>178</v>
      </c>
      <c r="X11" s="41" t="s">
        <v>179</v>
      </c>
      <c r="Y11" s="41" t="s">
        <v>178</v>
      </c>
      <c r="Z11" s="41" t="s">
        <v>220</v>
      </c>
    </row>
    <row r="12" spans="1:26" x14ac:dyDescent="0.25">
      <c r="A12" s="36">
        <v>46106.418981481482</v>
      </c>
      <c r="B12" s="36" t="s">
        <v>287</v>
      </c>
      <c r="C12" s="37" t="s">
        <v>221</v>
      </c>
      <c r="D12" s="38" t="s">
        <v>222</v>
      </c>
      <c r="E12" s="39">
        <f t="shared" si="0"/>
        <v>64</v>
      </c>
      <c r="F12" s="37" t="s">
        <v>182</v>
      </c>
      <c r="G12" s="37" t="s">
        <v>223</v>
      </c>
      <c r="H12" s="37" t="s">
        <v>173</v>
      </c>
      <c r="I12" s="37" t="s">
        <v>224</v>
      </c>
      <c r="J12" s="37" t="s">
        <v>214</v>
      </c>
      <c r="K12" s="37" t="s">
        <v>185</v>
      </c>
      <c r="L12" s="37" t="s">
        <v>176</v>
      </c>
      <c r="M12" s="37" t="s">
        <v>187</v>
      </c>
      <c r="N12" s="37" t="s">
        <v>177</v>
      </c>
      <c r="O12" s="37" t="s">
        <v>189</v>
      </c>
      <c r="P12" s="37" t="s">
        <v>178</v>
      </c>
      <c r="Q12" s="37" t="s">
        <v>179</v>
      </c>
      <c r="R12" s="37" t="s">
        <v>179</v>
      </c>
      <c r="S12" s="37" t="s">
        <v>178</v>
      </c>
      <c r="T12" s="37" t="s">
        <v>179</v>
      </c>
      <c r="U12" s="37" t="s">
        <v>179</v>
      </c>
      <c r="V12" s="37" t="s">
        <v>179</v>
      </c>
      <c r="W12" s="37" t="s">
        <v>178</v>
      </c>
      <c r="X12" s="37" t="s">
        <v>179</v>
      </c>
      <c r="Y12" s="37" t="s">
        <v>178</v>
      </c>
      <c r="Z12" s="37" t="s">
        <v>225</v>
      </c>
    </row>
    <row r="13" spans="1:26" x14ac:dyDescent="0.25">
      <c r="A13" s="40">
        <v>46106.419062499997</v>
      </c>
      <c r="B13" s="40" t="s">
        <v>288</v>
      </c>
      <c r="C13" s="41" t="s">
        <v>226</v>
      </c>
      <c r="D13" s="42" t="s">
        <v>227</v>
      </c>
      <c r="E13" s="39">
        <f t="shared" si="0"/>
        <v>100</v>
      </c>
      <c r="F13" s="41" t="s">
        <v>182</v>
      </c>
      <c r="G13" s="41" t="s">
        <v>193</v>
      </c>
      <c r="H13" s="41" t="s">
        <v>184</v>
      </c>
      <c r="I13" s="41" t="s">
        <v>174</v>
      </c>
      <c r="J13" s="41" t="s">
        <v>175</v>
      </c>
      <c r="K13" s="41" t="s">
        <v>185</v>
      </c>
      <c r="L13" s="41" t="s">
        <v>186</v>
      </c>
      <c r="M13" s="41" t="s">
        <v>187</v>
      </c>
      <c r="N13" s="41" t="s">
        <v>188</v>
      </c>
      <c r="O13" s="41" t="s">
        <v>189</v>
      </c>
      <c r="P13" s="41" t="s">
        <v>178</v>
      </c>
      <c r="Q13" s="41" t="s">
        <v>179</v>
      </c>
      <c r="R13" s="41" t="s">
        <v>178</v>
      </c>
      <c r="S13" s="41" t="s">
        <v>178</v>
      </c>
      <c r="T13" s="41" t="s">
        <v>178</v>
      </c>
      <c r="U13" s="41" t="s">
        <v>179</v>
      </c>
      <c r="V13" s="41" t="s">
        <v>178</v>
      </c>
      <c r="W13" s="41" t="s">
        <v>178</v>
      </c>
      <c r="X13" s="41" t="s">
        <v>179</v>
      </c>
      <c r="Y13" s="41" t="s">
        <v>178</v>
      </c>
      <c r="Z13" s="41" t="s">
        <v>228</v>
      </c>
    </row>
    <row r="14" spans="1:26" x14ac:dyDescent="0.25">
      <c r="A14" s="38" t="s">
        <v>229</v>
      </c>
      <c r="B14" s="38" t="s">
        <v>289</v>
      </c>
      <c r="C14" s="37" t="s">
        <v>230</v>
      </c>
      <c r="D14" s="38" t="s">
        <v>231</v>
      </c>
      <c r="E14" s="39">
        <f t="shared" si="0"/>
        <v>54</v>
      </c>
      <c r="F14" s="37" t="s">
        <v>232</v>
      </c>
      <c r="G14" s="37" t="s">
        <v>223</v>
      </c>
      <c r="H14" s="37" t="s">
        <v>184</v>
      </c>
      <c r="I14" s="37" t="s">
        <v>224</v>
      </c>
      <c r="J14" s="37" t="s">
        <v>214</v>
      </c>
      <c r="K14" s="37" t="s">
        <v>185</v>
      </c>
      <c r="L14" s="37" t="s">
        <v>219</v>
      </c>
      <c r="M14" s="37" t="s">
        <v>233</v>
      </c>
      <c r="N14" s="37" t="s">
        <v>188</v>
      </c>
      <c r="O14" s="37" t="s">
        <v>234</v>
      </c>
      <c r="P14" s="37" t="s">
        <v>178</v>
      </c>
      <c r="Q14" s="37" t="s">
        <v>179</v>
      </c>
      <c r="R14" s="37" t="s">
        <v>178</v>
      </c>
      <c r="S14" s="37" t="s">
        <v>179</v>
      </c>
      <c r="T14" s="37" t="s">
        <v>179</v>
      </c>
      <c r="U14" s="37" t="s">
        <v>178</v>
      </c>
      <c r="V14" s="37" t="s">
        <v>179</v>
      </c>
      <c r="W14" s="37" t="s">
        <v>178</v>
      </c>
      <c r="X14" s="37" t="s">
        <v>179</v>
      </c>
      <c r="Y14" s="37" t="s">
        <v>178</v>
      </c>
      <c r="Z14" s="37" t="s">
        <v>235</v>
      </c>
    </row>
    <row r="15" spans="1:26" x14ac:dyDescent="0.25">
      <c r="A15" s="40">
        <v>46106.419988425929</v>
      </c>
      <c r="B15" s="40" t="s">
        <v>290</v>
      </c>
      <c r="C15" s="41" t="s">
        <v>236</v>
      </c>
      <c r="D15" s="42" t="s">
        <v>192</v>
      </c>
      <c r="E15" s="39">
        <f t="shared" si="0"/>
        <v>100</v>
      </c>
      <c r="F15" s="41" t="s">
        <v>182</v>
      </c>
      <c r="G15" s="41" t="s">
        <v>193</v>
      </c>
      <c r="H15" s="41" t="s">
        <v>184</v>
      </c>
      <c r="I15" s="41" t="s">
        <v>174</v>
      </c>
      <c r="J15" s="41" t="s">
        <v>175</v>
      </c>
      <c r="K15" s="41" t="s">
        <v>185</v>
      </c>
      <c r="L15" s="41" t="s">
        <v>186</v>
      </c>
      <c r="M15" s="41" t="s">
        <v>187</v>
      </c>
      <c r="N15" s="41" t="s">
        <v>188</v>
      </c>
      <c r="O15" s="41" t="s">
        <v>189</v>
      </c>
      <c r="P15" s="41" t="s">
        <v>178</v>
      </c>
      <c r="Q15" s="41" t="s">
        <v>179</v>
      </c>
      <c r="R15" s="41" t="s">
        <v>178</v>
      </c>
      <c r="S15" s="41" t="s">
        <v>178</v>
      </c>
      <c r="T15" s="41" t="s">
        <v>179</v>
      </c>
      <c r="U15" s="41" t="s">
        <v>179</v>
      </c>
      <c r="V15" s="41" t="s">
        <v>178</v>
      </c>
      <c r="W15" s="41" t="s">
        <v>178</v>
      </c>
      <c r="X15" s="41" t="s">
        <v>179</v>
      </c>
      <c r="Y15" s="41" t="s">
        <v>178</v>
      </c>
      <c r="Z15" s="41" t="s">
        <v>237</v>
      </c>
    </row>
    <row r="16" spans="1:26" x14ac:dyDescent="0.25">
      <c r="A16" s="36">
        <v>46106.420046296298</v>
      </c>
      <c r="B16" s="36" t="s">
        <v>291</v>
      </c>
      <c r="C16" s="37" t="s">
        <v>238</v>
      </c>
      <c r="D16" s="38" t="s">
        <v>239</v>
      </c>
      <c r="E16" s="39">
        <f t="shared" si="0"/>
        <v>85</v>
      </c>
      <c r="F16" s="37" t="s">
        <v>182</v>
      </c>
      <c r="G16" s="37" t="s">
        <v>223</v>
      </c>
      <c r="H16" s="37" t="s">
        <v>184</v>
      </c>
      <c r="I16" s="37" t="s">
        <v>174</v>
      </c>
      <c r="J16" s="37" t="s">
        <v>214</v>
      </c>
      <c r="K16" s="37" t="s">
        <v>185</v>
      </c>
      <c r="L16" s="37" t="s">
        <v>186</v>
      </c>
      <c r="M16" s="37" t="s">
        <v>187</v>
      </c>
      <c r="N16" s="37" t="s">
        <v>188</v>
      </c>
      <c r="O16" s="37" t="s">
        <v>189</v>
      </c>
      <c r="P16" s="37" t="s">
        <v>178</v>
      </c>
      <c r="Q16" s="37" t="s">
        <v>179</v>
      </c>
      <c r="R16" s="37" t="s">
        <v>178</v>
      </c>
      <c r="S16" s="37" t="s">
        <v>178</v>
      </c>
      <c r="T16" s="37" t="s">
        <v>178</v>
      </c>
      <c r="U16" s="37" t="s">
        <v>179</v>
      </c>
      <c r="V16" s="37" t="s">
        <v>179</v>
      </c>
      <c r="W16" s="37" t="s">
        <v>178</v>
      </c>
      <c r="X16" s="37" t="s">
        <v>178</v>
      </c>
      <c r="Y16" s="37" t="s">
        <v>178</v>
      </c>
      <c r="Z16" s="37" t="s">
        <v>240</v>
      </c>
    </row>
    <row r="17" spans="1:26" x14ac:dyDescent="0.25">
      <c r="A17" s="40">
        <v>46106.420104166667</v>
      </c>
      <c r="B17" s="40" t="s">
        <v>292</v>
      </c>
      <c r="C17" s="41" t="s">
        <v>241</v>
      </c>
      <c r="D17" s="42" t="s">
        <v>242</v>
      </c>
      <c r="E17" s="39">
        <f t="shared" si="0"/>
        <v>62</v>
      </c>
      <c r="F17" s="41" t="s">
        <v>182</v>
      </c>
      <c r="G17" s="41" t="s">
        <v>223</v>
      </c>
      <c r="H17" s="41" t="s">
        <v>184</v>
      </c>
      <c r="I17" s="41" t="s">
        <v>243</v>
      </c>
      <c r="J17" s="41" t="s">
        <v>214</v>
      </c>
      <c r="K17" s="41" t="s">
        <v>185</v>
      </c>
      <c r="L17" s="41" t="s">
        <v>219</v>
      </c>
      <c r="M17" s="41" t="s">
        <v>187</v>
      </c>
      <c r="N17" s="41" t="s">
        <v>188</v>
      </c>
      <c r="O17" s="41" t="s">
        <v>234</v>
      </c>
      <c r="P17" s="41" t="s">
        <v>178</v>
      </c>
      <c r="Q17" s="41" t="s">
        <v>179</v>
      </c>
      <c r="R17" s="41" t="s">
        <v>179</v>
      </c>
      <c r="S17" s="41" t="s">
        <v>179</v>
      </c>
      <c r="T17" s="41" t="s">
        <v>179</v>
      </c>
      <c r="U17" s="41" t="s">
        <v>179</v>
      </c>
      <c r="V17" s="41" t="s">
        <v>179</v>
      </c>
      <c r="W17" s="41" t="s">
        <v>179</v>
      </c>
      <c r="X17" s="41" t="s">
        <v>179</v>
      </c>
      <c r="Y17" s="41" t="s">
        <v>178</v>
      </c>
      <c r="Z17" s="41" t="s">
        <v>244</v>
      </c>
    </row>
    <row r="18" spans="1:26" x14ac:dyDescent="0.25">
      <c r="A18" s="36">
        <v>46106.420347222222</v>
      </c>
      <c r="B18" s="36" t="s">
        <v>293</v>
      </c>
      <c r="C18" s="37" t="s">
        <v>245</v>
      </c>
      <c r="D18" s="38" t="s">
        <v>192</v>
      </c>
      <c r="E18" s="39">
        <f t="shared" si="0"/>
        <v>100</v>
      </c>
      <c r="F18" s="37" t="s">
        <v>182</v>
      </c>
      <c r="G18" s="37" t="s">
        <v>193</v>
      </c>
      <c r="H18" s="37" t="s">
        <v>184</v>
      </c>
      <c r="I18" s="37" t="s">
        <v>174</v>
      </c>
      <c r="J18" s="37" t="s">
        <v>175</v>
      </c>
      <c r="K18" s="37" t="s">
        <v>185</v>
      </c>
      <c r="L18" s="37" t="s">
        <v>186</v>
      </c>
      <c r="M18" s="37" t="s">
        <v>187</v>
      </c>
      <c r="N18" s="37" t="s">
        <v>188</v>
      </c>
      <c r="O18" s="37" t="s">
        <v>189</v>
      </c>
      <c r="P18" s="37" t="s">
        <v>178</v>
      </c>
      <c r="Q18" s="37" t="s">
        <v>179</v>
      </c>
      <c r="R18" s="37" t="s">
        <v>178</v>
      </c>
      <c r="S18" s="37" t="s">
        <v>178</v>
      </c>
      <c r="T18" s="37" t="s">
        <v>179</v>
      </c>
      <c r="U18" s="37" t="s">
        <v>179</v>
      </c>
      <c r="V18" s="37" t="s">
        <v>178</v>
      </c>
      <c r="W18" s="37" t="s">
        <v>178</v>
      </c>
      <c r="X18" s="37" t="s">
        <v>179</v>
      </c>
      <c r="Y18" s="37" t="s">
        <v>178</v>
      </c>
      <c r="Z18" s="37" t="s">
        <v>246</v>
      </c>
    </row>
    <row r="19" spans="1:26" x14ac:dyDescent="0.25">
      <c r="A19" s="40">
        <v>46106.42046296296</v>
      </c>
      <c r="B19" s="40" t="s">
        <v>294</v>
      </c>
      <c r="C19" s="41" t="s">
        <v>247</v>
      </c>
      <c r="D19" s="42" t="s">
        <v>248</v>
      </c>
      <c r="E19" s="39">
        <f t="shared" si="0"/>
        <v>96</v>
      </c>
      <c r="F19" s="41" t="s">
        <v>182</v>
      </c>
      <c r="G19" s="41" t="s">
        <v>193</v>
      </c>
      <c r="H19" s="41" t="s">
        <v>184</v>
      </c>
      <c r="I19" s="41" t="s">
        <v>174</v>
      </c>
      <c r="J19" s="41" t="s">
        <v>175</v>
      </c>
      <c r="K19" s="41" t="s">
        <v>185</v>
      </c>
      <c r="L19" s="41" t="s">
        <v>186</v>
      </c>
      <c r="M19" s="41" t="s">
        <v>187</v>
      </c>
      <c r="N19" s="41" t="s">
        <v>188</v>
      </c>
      <c r="O19" s="41" t="s">
        <v>189</v>
      </c>
      <c r="P19" s="41" t="s">
        <v>178</v>
      </c>
      <c r="Q19" s="41" t="s">
        <v>179</v>
      </c>
      <c r="R19" s="41" t="s">
        <v>179</v>
      </c>
      <c r="S19" s="41" t="s">
        <v>179</v>
      </c>
      <c r="T19" s="41" t="s">
        <v>178</v>
      </c>
      <c r="U19" s="41" t="s">
        <v>179</v>
      </c>
      <c r="V19" s="41" t="s">
        <v>178</v>
      </c>
      <c r="W19" s="41" t="s">
        <v>178</v>
      </c>
      <c r="X19" s="41" t="s">
        <v>179</v>
      </c>
      <c r="Y19" s="41" t="s">
        <v>178</v>
      </c>
      <c r="Z19" s="41" t="s">
        <v>249</v>
      </c>
    </row>
    <row r="20" spans="1:26" x14ac:dyDescent="0.25">
      <c r="A20" s="38" t="s">
        <v>250</v>
      </c>
      <c r="B20" s="38" t="s">
        <v>295</v>
      </c>
      <c r="C20" s="37" t="s">
        <v>251</v>
      </c>
      <c r="D20" s="38" t="s">
        <v>192</v>
      </c>
      <c r="E20" s="39">
        <f t="shared" si="0"/>
        <v>100</v>
      </c>
      <c r="F20" s="37" t="s">
        <v>182</v>
      </c>
      <c r="G20" s="37" t="s">
        <v>193</v>
      </c>
      <c r="H20" s="37" t="s">
        <v>184</v>
      </c>
      <c r="I20" s="37" t="s">
        <v>174</v>
      </c>
      <c r="J20" s="37" t="s">
        <v>175</v>
      </c>
      <c r="K20" s="37" t="s">
        <v>185</v>
      </c>
      <c r="L20" s="37" t="s">
        <v>186</v>
      </c>
      <c r="M20" s="37" t="s">
        <v>187</v>
      </c>
      <c r="N20" s="37" t="s">
        <v>188</v>
      </c>
      <c r="O20" s="37" t="s">
        <v>189</v>
      </c>
      <c r="P20" s="37" t="s">
        <v>178</v>
      </c>
      <c r="Q20" s="37" t="s">
        <v>179</v>
      </c>
      <c r="R20" s="37" t="s">
        <v>178</v>
      </c>
      <c r="S20" s="37" t="s">
        <v>178</v>
      </c>
      <c r="T20" s="37" t="s">
        <v>179</v>
      </c>
      <c r="U20" s="37" t="s">
        <v>179</v>
      </c>
      <c r="V20" s="37" t="s">
        <v>178</v>
      </c>
      <c r="W20" s="37" t="s">
        <v>178</v>
      </c>
      <c r="X20" s="37" t="s">
        <v>179</v>
      </c>
      <c r="Y20" s="37" t="s">
        <v>178</v>
      </c>
      <c r="Z20" s="37" t="s">
        <v>252</v>
      </c>
    </row>
    <row r="21" spans="1:26" x14ac:dyDescent="0.25">
      <c r="A21" s="40">
        <v>46106.421365740738</v>
      </c>
      <c r="B21" s="40" t="s">
        <v>296</v>
      </c>
      <c r="C21" s="41" t="s">
        <v>253</v>
      </c>
      <c r="D21" s="42" t="s">
        <v>254</v>
      </c>
      <c r="E21" s="39">
        <f t="shared" si="0"/>
        <v>77</v>
      </c>
      <c r="F21" s="41" t="s">
        <v>182</v>
      </c>
      <c r="G21" s="41" t="s">
        <v>193</v>
      </c>
      <c r="H21" s="41" t="s">
        <v>184</v>
      </c>
      <c r="I21" s="41" t="s">
        <v>174</v>
      </c>
      <c r="J21" s="41" t="s">
        <v>214</v>
      </c>
      <c r="K21" s="41" t="s">
        <v>172</v>
      </c>
      <c r="L21" s="41" t="s">
        <v>186</v>
      </c>
      <c r="M21" s="41" t="s">
        <v>187</v>
      </c>
      <c r="N21" s="41" t="s">
        <v>188</v>
      </c>
      <c r="O21" s="41" t="s">
        <v>189</v>
      </c>
      <c r="P21" s="41" t="s">
        <v>178</v>
      </c>
      <c r="Q21" s="41" t="s">
        <v>179</v>
      </c>
      <c r="R21" s="41" t="s">
        <v>179</v>
      </c>
      <c r="S21" s="41" t="s">
        <v>178</v>
      </c>
      <c r="T21" s="41" t="s">
        <v>178</v>
      </c>
      <c r="U21" s="41" t="s">
        <v>178</v>
      </c>
      <c r="V21" s="41" t="s">
        <v>179</v>
      </c>
      <c r="W21" s="41" t="s">
        <v>178</v>
      </c>
      <c r="X21" s="41" t="s">
        <v>178</v>
      </c>
      <c r="Y21" s="41" t="s">
        <v>178</v>
      </c>
      <c r="Z21" s="41" t="s">
        <v>255</v>
      </c>
    </row>
    <row r="22" spans="1:26" x14ac:dyDescent="0.25">
      <c r="A22" s="36">
        <v>46106.422662037039</v>
      </c>
      <c r="B22" s="36" t="s">
        <v>297</v>
      </c>
      <c r="C22" s="37" t="s">
        <v>256</v>
      </c>
      <c r="D22" s="38" t="s">
        <v>257</v>
      </c>
      <c r="E22" s="39">
        <f t="shared" si="0"/>
        <v>66</v>
      </c>
      <c r="F22" s="37" t="s">
        <v>182</v>
      </c>
      <c r="G22" s="37" t="s">
        <v>193</v>
      </c>
      <c r="H22" s="37" t="s">
        <v>184</v>
      </c>
      <c r="I22" s="37" t="s">
        <v>243</v>
      </c>
      <c r="J22" s="37" t="s">
        <v>214</v>
      </c>
      <c r="K22" s="37" t="s">
        <v>172</v>
      </c>
      <c r="L22" s="37" t="s">
        <v>219</v>
      </c>
      <c r="M22" s="37" t="s">
        <v>187</v>
      </c>
      <c r="N22" s="37" t="s">
        <v>258</v>
      </c>
      <c r="O22" s="37" t="s">
        <v>189</v>
      </c>
      <c r="P22" s="37" t="s">
        <v>178</v>
      </c>
      <c r="Q22" s="37" t="s">
        <v>179</v>
      </c>
      <c r="R22" s="37" t="s">
        <v>178</v>
      </c>
      <c r="S22" s="37" t="s">
        <v>178</v>
      </c>
      <c r="T22" s="37" t="s">
        <v>179</v>
      </c>
      <c r="U22" s="37" t="s">
        <v>178</v>
      </c>
      <c r="V22" s="37" t="s">
        <v>179</v>
      </c>
      <c r="W22" s="37" t="s">
        <v>179</v>
      </c>
      <c r="X22" s="37" t="s">
        <v>179</v>
      </c>
      <c r="Y22" s="37" t="s">
        <v>178</v>
      </c>
      <c r="Z22" s="37" t="s">
        <v>259</v>
      </c>
    </row>
    <row r="23" spans="1:26" x14ac:dyDescent="0.25">
      <c r="A23" s="40">
        <v>46106.42291666667</v>
      </c>
      <c r="B23" s="40" t="s">
        <v>298</v>
      </c>
      <c r="C23" s="41" t="s">
        <v>260</v>
      </c>
      <c r="D23" s="42" t="s">
        <v>192</v>
      </c>
      <c r="E23" s="39">
        <f t="shared" si="0"/>
        <v>100</v>
      </c>
      <c r="F23" s="41" t="s">
        <v>182</v>
      </c>
      <c r="G23" s="41" t="s">
        <v>193</v>
      </c>
      <c r="H23" s="41" t="s">
        <v>184</v>
      </c>
      <c r="I23" s="41" t="s">
        <v>174</v>
      </c>
      <c r="J23" s="41" t="s">
        <v>175</v>
      </c>
      <c r="K23" s="41" t="s">
        <v>185</v>
      </c>
      <c r="L23" s="41" t="s">
        <v>186</v>
      </c>
      <c r="M23" s="41" t="s">
        <v>187</v>
      </c>
      <c r="N23" s="41" t="s">
        <v>188</v>
      </c>
      <c r="O23" s="41" t="s">
        <v>189</v>
      </c>
      <c r="P23" s="41" t="s">
        <v>178</v>
      </c>
      <c r="Q23" s="41" t="s">
        <v>179</v>
      </c>
      <c r="R23" s="41" t="s">
        <v>178</v>
      </c>
      <c r="S23" s="41" t="s">
        <v>178</v>
      </c>
      <c r="T23" s="41" t="s">
        <v>179</v>
      </c>
      <c r="U23" s="41" t="s">
        <v>179</v>
      </c>
      <c r="V23" s="41" t="s">
        <v>178</v>
      </c>
      <c r="W23" s="41" t="s">
        <v>178</v>
      </c>
      <c r="X23" s="41" t="s">
        <v>179</v>
      </c>
      <c r="Y23" s="41" t="s">
        <v>178</v>
      </c>
      <c r="Z23" s="41" t="s">
        <v>261</v>
      </c>
    </row>
    <row r="24" spans="1:26" x14ac:dyDescent="0.25">
      <c r="A24" s="36">
        <v>46106.423321759263</v>
      </c>
      <c r="B24" s="36" t="s">
        <v>299</v>
      </c>
      <c r="C24" s="37" t="s">
        <v>262</v>
      </c>
      <c r="D24" s="38" t="s">
        <v>239</v>
      </c>
      <c r="E24" s="39">
        <f t="shared" si="0"/>
        <v>85</v>
      </c>
      <c r="F24" s="37" t="s">
        <v>232</v>
      </c>
      <c r="G24" s="37" t="s">
        <v>193</v>
      </c>
      <c r="H24" s="37" t="s">
        <v>184</v>
      </c>
      <c r="I24" s="37" t="s">
        <v>174</v>
      </c>
      <c r="J24" s="37" t="s">
        <v>175</v>
      </c>
      <c r="K24" s="37" t="s">
        <v>201</v>
      </c>
      <c r="L24" s="37" t="s">
        <v>186</v>
      </c>
      <c r="M24" s="37" t="s">
        <v>187</v>
      </c>
      <c r="N24" s="37" t="s">
        <v>188</v>
      </c>
      <c r="O24" s="37" t="s">
        <v>189</v>
      </c>
      <c r="P24" s="37" t="s">
        <v>178</v>
      </c>
      <c r="Q24" s="37" t="s">
        <v>179</v>
      </c>
      <c r="R24" s="37" t="s">
        <v>178</v>
      </c>
      <c r="S24" s="37" t="s">
        <v>178</v>
      </c>
      <c r="T24" s="37" t="s">
        <v>178</v>
      </c>
      <c r="U24" s="37" t="s">
        <v>178</v>
      </c>
      <c r="V24" s="37" t="s">
        <v>178</v>
      </c>
      <c r="W24" s="37" t="s">
        <v>178</v>
      </c>
      <c r="X24" s="37" t="s">
        <v>179</v>
      </c>
      <c r="Y24" s="37" t="s">
        <v>178</v>
      </c>
      <c r="Z24" s="37" t="s">
        <v>263</v>
      </c>
    </row>
    <row r="25" spans="1:26" x14ac:dyDescent="0.25">
      <c r="A25" s="40">
        <v>46106.443576388891</v>
      </c>
      <c r="B25" s="40" t="s">
        <v>300</v>
      </c>
      <c r="C25" s="41" t="s">
        <v>264</v>
      </c>
      <c r="D25" s="42" t="s">
        <v>265</v>
      </c>
      <c r="E25" s="39">
        <f t="shared" si="0"/>
        <v>99</v>
      </c>
      <c r="F25" s="41" t="s">
        <v>182</v>
      </c>
      <c r="G25" s="41" t="s">
        <v>193</v>
      </c>
      <c r="H25" s="41" t="s">
        <v>173</v>
      </c>
      <c r="I25" s="41" t="s">
        <v>174</v>
      </c>
      <c r="J25" s="41" t="s">
        <v>175</v>
      </c>
      <c r="K25" s="41" t="s">
        <v>185</v>
      </c>
      <c r="L25" s="41" t="s">
        <v>186</v>
      </c>
      <c r="M25" s="41" t="s">
        <v>187</v>
      </c>
      <c r="N25" s="41" t="s">
        <v>188</v>
      </c>
      <c r="O25" s="41" t="s">
        <v>189</v>
      </c>
      <c r="P25" s="41" t="s">
        <v>179</v>
      </c>
      <c r="Q25" s="41" t="s">
        <v>179</v>
      </c>
      <c r="R25" s="41" t="s">
        <v>178</v>
      </c>
      <c r="S25" s="41" t="s">
        <v>178</v>
      </c>
      <c r="T25" s="41" t="s">
        <v>179</v>
      </c>
      <c r="U25" s="41" t="s">
        <v>179</v>
      </c>
      <c r="V25" s="41" t="s">
        <v>178</v>
      </c>
      <c r="W25" s="41" t="s">
        <v>178</v>
      </c>
      <c r="X25" s="41" t="s">
        <v>179</v>
      </c>
      <c r="Y25" s="41" t="s">
        <v>178</v>
      </c>
      <c r="Z25" s="41" t="s">
        <v>266</v>
      </c>
    </row>
    <row r="26" spans="1:26" x14ac:dyDescent="0.25">
      <c r="A26" s="36">
        <v>46106.445543981485</v>
      </c>
      <c r="B26" s="36" t="s">
        <v>301</v>
      </c>
      <c r="C26" s="37" t="s">
        <v>267</v>
      </c>
      <c r="D26" s="38" t="s">
        <v>248</v>
      </c>
      <c r="E26" s="39">
        <f t="shared" si="0"/>
        <v>96</v>
      </c>
      <c r="F26" s="37" t="s">
        <v>182</v>
      </c>
      <c r="G26" s="37" t="s">
        <v>223</v>
      </c>
      <c r="H26" s="37" t="s">
        <v>184</v>
      </c>
      <c r="I26" s="37" t="s">
        <v>174</v>
      </c>
      <c r="J26" s="37" t="s">
        <v>214</v>
      </c>
      <c r="K26" s="37" t="s">
        <v>185</v>
      </c>
      <c r="L26" s="37" t="s">
        <v>186</v>
      </c>
      <c r="M26" s="37" t="s">
        <v>187</v>
      </c>
      <c r="N26" s="37" t="s">
        <v>188</v>
      </c>
      <c r="O26" s="37" t="s">
        <v>189</v>
      </c>
      <c r="P26" s="37" t="s">
        <v>178</v>
      </c>
      <c r="Q26" s="37" t="s">
        <v>179</v>
      </c>
      <c r="R26" s="37" t="s">
        <v>178</v>
      </c>
      <c r="S26" s="37" t="s">
        <v>178</v>
      </c>
      <c r="T26" s="37" t="s">
        <v>179</v>
      </c>
      <c r="U26" s="37" t="s">
        <v>179</v>
      </c>
      <c r="V26" s="37" t="s">
        <v>178</v>
      </c>
      <c r="W26" s="37" t="s">
        <v>178</v>
      </c>
      <c r="X26" s="37" t="s">
        <v>179</v>
      </c>
      <c r="Y26" s="37" t="s">
        <v>178</v>
      </c>
      <c r="Z26" s="37" t="s">
        <v>268</v>
      </c>
    </row>
    <row r="27" spans="1:26" x14ac:dyDescent="0.25">
      <c r="A27" s="42" t="s">
        <v>269</v>
      </c>
      <c r="B27" s="42" t="s">
        <v>302</v>
      </c>
      <c r="C27" s="41" t="s">
        <v>270</v>
      </c>
      <c r="D27" s="42" t="s">
        <v>271</v>
      </c>
      <c r="E27" s="39">
        <f t="shared" si="0"/>
        <v>100</v>
      </c>
      <c r="F27" s="41" t="s">
        <v>182</v>
      </c>
      <c r="G27" s="41" t="s">
        <v>193</v>
      </c>
      <c r="H27" s="41" t="s">
        <v>184</v>
      </c>
      <c r="I27" s="41" t="s">
        <v>174</v>
      </c>
      <c r="J27" s="41" t="s">
        <v>175</v>
      </c>
      <c r="K27" s="41" t="s">
        <v>185</v>
      </c>
      <c r="L27" s="41" t="s">
        <v>186</v>
      </c>
      <c r="M27" s="41" t="s">
        <v>187</v>
      </c>
      <c r="N27" s="41" t="s">
        <v>188</v>
      </c>
      <c r="O27" s="41" t="s">
        <v>189</v>
      </c>
      <c r="P27" s="41" t="s">
        <v>178</v>
      </c>
      <c r="Q27" s="41" t="s">
        <v>179</v>
      </c>
      <c r="R27" s="41" t="s">
        <v>178</v>
      </c>
      <c r="S27" s="41" t="s">
        <v>178</v>
      </c>
      <c r="T27" s="41" t="s">
        <v>179</v>
      </c>
      <c r="U27" s="41" t="s">
        <v>179</v>
      </c>
      <c r="V27" s="41" t="s">
        <v>178</v>
      </c>
      <c r="W27" s="41" t="s">
        <v>178</v>
      </c>
      <c r="X27" s="41" t="s">
        <v>179</v>
      </c>
      <c r="Y27" s="41" t="s">
        <v>178</v>
      </c>
      <c r="Z27" s="41" t="s">
        <v>272</v>
      </c>
    </row>
    <row r="28" spans="1:26" x14ac:dyDescent="0.25">
      <c r="A28" s="36">
        <v>46139.668900462966</v>
      </c>
      <c r="B28" s="43" t="s">
        <v>306</v>
      </c>
      <c r="C28" s="37" t="s">
        <v>303</v>
      </c>
      <c r="D28" s="44" t="s">
        <v>304</v>
      </c>
      <c r="E28" s="39">
        <f t="shared" si="0"/>
        <v>100</v>
      </c>
      <c r="F28" s="37" t="s">
        <v>182</v>
      </c>
      <c r="G28" s="37" t="s">
        <v>193</v>
      </c>
      <c r="H28" s="37" t="s">
        <v>184</v>
      </c>
      <c r="I28" s="37" t="s">
        <v>174</v>
      </c>
      <c r="J28" s="37" t="s">
        <v>175</v>
      </c>
      <c r="K28" s="37" t="s">
        <v>185</v>
      </c>
      <c r="L28" s="37" t="s">
        <v>186</v>
      </c>
      <c r="M28" s="37" t="s">
        <v>187</v>
      </c>
      <c r="N28" s="37" t="s">
        <v>188</v>
      </c>
      <c r="O28" s="37" t="s">
        <v>189</v>
      </c>
      <c r="P28" s="37" t="s">
        <v>178</v>
      </c>
      <c r="Q28" s="37" t="s">
        <v>179</v>
      </c>
      <c r="R28" s="37" t="s">
        <v>178</v>
      </c>
      <c r="S28" s="37" t="s">
        <v>178</v>
      </c>
      <c r="T28" s="37" t="s">
        <v>179</v>
      </c>
      <c r="U28" s="37" t="s">
        <v>179</v>
      </c>
      <c r="V28" s="37" t="s">
        <v>178</v>
      </c>
      <c r="W28" s="37" t="s">
        <v>178</v>
      </c>
      <c r="X28" s="37" t="s">
        <v>178</v>
      </c>
      <c r="Y28" s="37" t="s">
        <v>178</v>
      </c>
      <c r="Z28" s="37" t="s">
        <v>305</v>
      </c>
    </row>
  </sheetData>
  <autoFilter ref="A1:Z28" xr:uid="{5B781B1C-465B-40C3-B31E-0122F766D036}">
    <sortState xmlns:xlrd2="http://schemas.microsoft.com/office/spreadsheetml/2017/richdata2" ref="A27:Z27">
      <sortCondition descending="1" ref="B1:B2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Asistencia</vt:lpstr>
      <vt:lpstr>Resumen</vt:lpstr>
      <vt:lpstr>Examen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Carlos Pulido Rosas</cp:lastModifiedBy>
  <cp:revision>0</cp:revision>
  <dcterms:created xsi:type="dcterms:W3CDTF">2026-03-18T12:22:42Z</dcterms:created>
  <dcterms:modified xsi:type="dcterms:W3CDTF">2026-05-18T01:59:34Z</dcterms:modified>
  <dc:language>en-US</dc:language>
</cp:coreProperties>
</file>